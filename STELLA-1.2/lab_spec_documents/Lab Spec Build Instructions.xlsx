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rts" sheetId="1" r:id="rId5"/>
    <sheet name="Drawings" sheetId="2" r:id="rId6"/>
    <sheet name="main board" sheetId="3" r:id="rId7"/>
    <sheet name="cuvette cantilever board" sheetId="4" r:id="rId8"/>
    <sheet name="cuvette drop board" sheetId="5" r:id="rId9"/>
    <sheet name="cuvette excitation board" sheetId="6" r:id="rId10"/>
    <sheet name="cuvette join drop + excitation" sheetId="7" r:id="rId11"/>
    <sheet name="pcr tube cantilever board" sheetId="8" r:id="rId12"/>
    <sheet name="pcr tube excitation board" sheetId="9" r:id="rId13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<sst xmlns="http://schemas.openxmlformats.org/spreadsheetml/2006/main" uniqueCount="260">
  <si>
    <t>STELLA Lab Spec parts</t>
  </si>
  <si>
    <t xml:space="preserve">Line </t>
  </si>
  <si>
    <t>Dgn</t>
  </si>
  <si>
    <t>Part</t>
  </si>
  <si>
    <t>Qty</t>
  </si>
  <si>
    <t>Category</t>
  </si>
  <si>
    <t>Type</t>
  </si>
  <si>
    <t>Vendor</t>
  </si>
  <si>
    <t>PN</t>
  </si>
  <si>
    <t>$ ea</t>
  </si>
  <si>
    <t>$ line</t>
  </si>
  <si>
    <t>.STL</t>
  </si>
  <si>
    <t>C2</t>
  </si>
  <si>
    <t>Cuvette</t>
  </si>
  <si>
    <t>Cuvette config</t>
  </si>
  <si>
    <t>Consumables</t>
  </si>
  <si>
    <t>P2</t>
  </si>
  <si>
    <t>PCR 0.2mL tube</t>
  </si>
  <si>
    <t>PCR tube config</t>
  </si>
  <si>
    <t>LS</t>
  </si>
  <si>
    <t>100kΩ resistor</t>
  </si>
  <si>
    <t>Common</t>
  </si>
  <si>
    <t>Electronics</t>
  </si>
  <si>
    <t>1Ω 1% 1/4W resistor</t>
  </si>
  <si>
    <t>365nm LED 3mm</t>
  </si>
  <si>
    <t xml:space="preserve">488nm LED smt </t>
  </si>
  <si>
    <t xml:space="preserve">50Ω resistor </t>
  </si>
  <si>
    <t>640nm LED 3mm</t>
  </si>
  <si>
    <t>Adafruit ADS1015 quad 12 bit ADC</t>
  </si>
  <si>
    <t>Adafruit AS7341 spectral sensor</t>
  </si>
  <si>
    <t>Adafruit half size proto board</t>
  </si>
  <si>
    <t>Adafruit MCP4728 quad 12 bit DAC</t>
  </si>
  <si>
    <t>Magnet coupler 3 pins</t>
  </si>
  <si>
    <t>Magnet coupler 4 pins</t>
  </si>
  <si>
    <t>Pin header 3 pos</t>
  </si>
  <si>
    <t>Pin header 3x2 pos</t>
  </si>
  <si>
    <t>Pin header 6 pos</t>
  </si>
  <si>
    <t>Pin header RA 6 pos</t>
  </si>
  <si>
    <t>Pin header single</t>
  </si>
  <si>
    <t>PN2222ABU transistor</t>
  </si>
  <si>
    <t>Proto-Advantage LED2 - DIP adapter</t>
  </si>
  <si>
    <t>Proto-Advantage small proto board</t>
  </si>
  <si>
    <t xml:space="preserve">Socket header 3x1 pos </t>
  </si>
  <si>
    <t xml:space="preserve">Socket header 3x2 pos </t>
  </si>
  <si>
    <t xml:space="preserve">Socket header 3x3 pos </t>
  </si>
  <si>
    <t>Socket header, RA, 6 pos</t>
  </si>
  <si>
    <t>Sparkfun mini proto board</t>
  </si>
  <si>
    <t>Stacking header 6 pos</t>
  </si>
  <si>
    <t>Stacking headers, 6 pos</t>
  </si>
  <si>
    <t>White LED panel</t>
  </si>
  <si>
    <t>LS housing base</t>
  </si>
  <si>
    <t>Print</t>
  </si>
  <si>
    <t>0.2mm layers</t>
  </si>
  <si>
    <t>LS-C2 blackout shutter</t>
  </si>
  <si>
    <t>0.1mm layers</t>
  </si>
  <si>
    <t xml:space="preserve">LS-C2 cuvette block </t>
  </si>
  <si>
    <t>LS-C2 cuvette block foot pair, 2up</t>
  </si>
  <si>
    <t>LS-C2 cuvette pedestal</t>
  </si>
  <si>
    <t>LS-C2 detector block</t>
  </si>
  <si>
    <t>0.1mm layers — add support to center bridge</t>
  </si>
  <si>
    <t>LS-C2 detector block assembly fixture</t>
  </si>
  <si>
    <t>LS-C2 end cover</t>
  </si>
  <si>
    <t>LS-C2 side LED cover, flag</t>
  </si>
  <si>
    <t>LS-C2 side LED cover, plain</t>
  </si>
  <si>
    <t>LS-C2 swing lid</t>
  </si>
  <si>
    <t>LS-P2 end cover</t>
  </si>
  <si>
    <t>LS-P2 hinge pin</t>
  </si>
  <si>
    <t>LS-P2 sensor retainer</t>
  </si>
  <si>
    <t>LS-P2 swing door</t>
  </si>
  <si>
    <t xml:space="preserve">LS-P2 test position (single or triple source) </t>
  </si>
  <si>
    <t>0.1mm layers — Add supports to main overhang, organic style seems to be easier to remove</t>
  </si>
  <si>
    <t>Cost</t>
  </si>
  <si>
    <t>Line</t>
  </si>
  <si>
    <t>Drawing</t>
  </si>
  <si>
    <t>PDF</t>
  </si>
  <si>
    <t>LS Main board</t>
  </si>
  <si>
    <t>yes</t>
  </si>
  <si>
    <t>LS-C2</t>
  </si>
  <si>
    <t>LS-C2 Cuvette board join</t>
  </si>
  <si>
    <t>LS-C2 Cuvette cantilever board</t>
  </si>
  <si>
    <t>LS-C2 Cuvette cantilever board w fixture</t>
  </si>
  <si>
    <t>LS-C2 Cuvette drop board</t>
  </si>
  <si>
    <t>LS-C2 Cuvette excitation board</t>
  </si>
  <si>
    <t>LS-C2 Cuvette drop and excitation join</t>
  </si>
  <si>
    <t>LS-C2 Cuvette optics</t>
  </si>
  <si>
    <t>TBD</t>
  </si>
  <si>
    <t>LS-C2 Assembly drawing</t>
  </si>
  <si>
    <t>LS-P2</t>
  </si>
  <si>
    <t>LS-P2 PCR tube cantilever board</t>
  </si>
  <si>
    <t>LS-P2 PCR tube excitation board</t>
  </si>
  <si>
    <t>LS-P2 sensor block board set</t>
  </si>
  <si>
    <t>LS-P2 PCR tube optics</t>
  </si>
  <si>
    <t>LS-P2 Assembly drawing</t>
  </si>
  <si>
    <t>STELLA Lab Spec Main Board</t>
  </si>
  <si>
    <t>Step</t>
  </si>
  <si>
    <t>Action</t>
  </si>
  <si>
    <t xml:space="preserve">What value? </t>
  </si>
  <si>
    <t xml:space="preserve">Where? </t>
  </si>
  <si>
    <t xml:space="preserve">What color? </t>
  </si>
  <si>
    <t>Get board</t>
  </si>
  <si>
    <t>Adafruit Permaproto Half Size</t>
  </si>
  <si>
    <t>White</t>
  </si>
  <si>
    <t>Cut traces</t>
  </si>
  <si>
    <t>29,30: A-B, B-C, C-D, H-i, i-J</t>
  </si>
  <si>
    <t>Install magnetic couplers</t>
  </si>
  <si>
    <t>3 pos pins, 4 pos pins</t>
  </si>
  <si>
    <t>30: A, B, C, D; H, i, J</t>
  </si>
  <si>
    <t>Install transistors</t>
  </si>
  <si>
    <t>2N2222 or PN2222</t>
  </si>
  <si>
    <t>All flats towards J: B12-13-14; B16-17-18; G12-13-14; G16-17-18</t>
  </si>
  <si>
    <t>Install shunt resistors</t>
  </si>
  <si>
    <t>1Ω 1% tol or better</t>
  </si>
  <si>
    <t>B to GND each: 21, 22, 23, 24</t>
  </si>
  <si>
    <t>Install pull down resistors</t>
  </si>
  <si>
    <t>100kΩ</t>
  </si>
  <si>
    <t>B to GND each: 5, 6, 7, 8</t>
  </si>
  <si>
    <t>Install bias limit resistors</t>
  </si>
  <si>
    <t>50Ω</t>
  </si>
  <si>
    <t>C11-E13, C15-E17; H11-J13; H15-J17</t>
  </si>
  <si>
    <t>Install stacking headers for devices</t>
  </si>
  <si>
    <t>6 pos, 4 places</t>
  </si>
  <si>
    <t>G4-G9, D4-D9, G20-G25, D20-D25</t>
  </si>
  <si>
    <t>Install board to board stacking headers</t>
  </si>
  <si>
    <t>3x3, 2 places</t>
  </si>
  <si>
    <t>ON BACK: A, B, C x 1, 2, 3; H, i, J x 1, 2, 3</t>
  </si>
  <si>
    <t>3 pos, 3 places</t>
  </si>
  <si>
    <t>ON BACK: SCL 1, 2, 3; GND 1, 2, 3; 3V 1, 2, 3</t>
  </si>
  <si>
    <t>Install ground wires</t>
  </si>
  <si>
    <t>B29-30 to GND; B9 to GND; F24 to GND</t>
  </si>
  <si>
    <t>GND</t>
  </si>
  <si>
    <t>Install power wires</t>
  </si>
  <si>
    <t>A29-30 to 3V; B4 to 3V; F25 to 3V</t>
  </si>
  <si>
    <t>+3.3V</t>
  </si>
  <si>
    <t>Install SCL wires</t>
  </si>
  <si>
    <t>C29-30 to SCL; J23 to SCL; J7 to SCL; G3 to SCL</t>
  </si>
  <si>
    <t>i2c Serial Clock</t>
  </si>
  <si>
    <t>Install SDA wires</t>
  </si>
  <si>
    <t>E30 to SDA; J6 to SDA; J22 to SDA</t>
  </si>
  <si>
    <t>i2c Serial Data</t>
  </si>
  <si>
    <t>Install 5V wire</t>
  </si>
  <si>
    <t xml:space="preserve">J29-30 to G2 </t>
  </si>
  <si>
    <t>5V</t>
  </si>
  <si>
    <t xml:space="preserve">Install channel 0 wires </t>
  </si>
  <si>
    <t>F1 to E12; C8 to A11; A14 to C20</t>
  </si>
  <si>
    <t>CH0</t>
  </si>
  <si>
    <t xml:space="preserve">Install channel 1 wires </t>
  </si>
  <si>
    <t>E1 to E16; C7 to A15; E18 to E22</t>
  </si>
  <si>
    <t>CH1</t>
  </si>
  <si>
    <t xml:space="preserve">Install channel 2 wires </t>
  </si>
  <si>
    <t>E2 to F12; E6 to F11; F14 to E23</t>
  </si>
  <si>
    <t>CH2</t>
  </si>
  <si>
    <t xml:space="preserve">Install channel 3 wires </t>
  </si>
  <si>
    <t>E3 to F16; E5 to F15; F18 to E24</t>
  </si>
  <si>
    <t>CH3</t>
  </si>
  <si>
    <t>Test board for continuity and shorts</t>
  </si>
  <si>
    <t>Install MCP4728 12 bit DAC</t>
  </si>
  <si>
    <t>D4-D9; Vcc, VD, VC, VB, VA, GND // G4-G9: RDY, LDAC, SDA, SCL, GND, Vcc</t>
  </si>
  <si>
    <t>Install ADS1015 12 bit ADC</t>
  </si>
  <si>
    <t>D20-D25; A-, A0, A1, A2, A3, A+ // G20-G25; ALRT, ADDR, SDA, SCL, GND, Vin</t>
  </si>
  <si>
    <t>STELLA Lab Spec Cuvette Cantilever Board</t>
  </si>
  <si>
    <t>Sparkfun mini</t>
  </si>
  <si>
    <t>Red</t>
  </si>
  <si>
    <t>Using main board as a template, install pin headers</t>
  </si>
  <si>
    <t>3 pos in three places, 1 pos in six places</t>
  </si>
  <si>
    <t>1-2ABC, A4, B5, C6, C13, B14, A16, 17ABC</t>
  </si>
  <si>
    <t>Fixture detector board at right angles to cantilever board</t>
  </si>
  <si>
    <t>6 pos right angle pin header</t>
  </si>
  <si>
    <t>G7-12</t>
  </si>
  <si>
    <t>Install socket header for drop board</t>
  </si>
  <si>
    <t>6 pos stacking socket header</t>
  </si>
  <si>
    <t>G1-6</t>
  </si>
  <si>
    <t>Note: for the wiring, install them flat along the F row</t>
  </si>
  <si>
    <t>They can stick up between D, E and F</t>
  </si>
  <si>
    <t>E2-F11</t>
  </si>
  <si>
    <t>E1-F12</t>
  </si>
  <si>
    <t>E15-F10</t>
  </si>
  <si>
    <t>E17-F9</t>
  </si>
  <si>
    <t>E14-F6</t>
  </si>
  <si>
    <t>E13-F5</t>
  </si>
  <si>
    <t>E6-F4</t>
  </si>
  <si>
    <t>E5-F3</t>
  </si>
  <si>
    <t>E4-F2</t>
  </si>
  <si>
    <t>Omit</t>
  </si>
  <si>
    <t>Ground connection</t>
  </si>
  <si>
    <t>at F1</t>
  </si>
  <si>
    <t>STELLA Lab Spec Cuvette Drop Board</t>
  </si>
  <si>
    <t>Proto-Advantage 1.1x1.7”</t>
  </si>
  <si>
    <t>Epoxy color</t>
  </si>
  <si>
    <t>F1-2, F2-3, F3-4, F4-5, F5-6 F6-7</t>
  </si>
  <si>
    <t>install right angle pin headers, long pins towards the edges of the board</t>
  </si>
  <si>
    <t>6 pos, two places</t>
  </si>
  <si>
    <t>B1-6, G1-6</t>
  </si>
  <si>
    <t>Install current limit resistors, short to G pins on header</t>
  </si>
  <si>
    <t>50Ω, three places</t>
  </si>
  <si>
    <t>FG2-C2, FG3-C3, FG4-C4</t>
  </si>
  <si>
    <t>Install channel 0 wires, short to G pin on header</t>
  </si>
  <si>
    <t>FG5-C5</t>
  </si>
  <si>
    <t>Install 5V wire, short to G pin on header</t>
  </si>
  <si>
    <t>FG6-C6</t>
  </si>
  <si>
    <t>STELLA Lab Spec Cuvette Excitation Board</t>
  </si>
  <si>
    <t>F1-G1, F16-G16</t>
  </si>
  <si>
    <t>Install bottom LED, smt</t>
  </si>
  <si>
    <t>488nm</t>
  </si>
  <si>
    <t>(+) FG10, (dot) FG7</t>
  </si>
  <si>
    <t xml:space="preserve">Trim backlight LED panel (score with knife and snap) </t>
  </si>
  <si>
    <t>Shorten the panel by 15mm</t>
  </si>
  <si>
    <t>Install CH3 backlight LED panel</t>
  </si>
  <si>
    <t>(+) J9, (-) J8</t>
  </si>
  <si>
    <t>Bend CH1 and CH2 LEDs, match polarity and height below</t>
  </si>
  <si>
    <t xml:space="preserve">Install CH1 LED, set height with cuvette block </t>
  </si>
  <si>
    <t xml:space="preserve">365nm (for DAPI) </t>
  </si>
  <si>
    <t>(+) F1, (-) G1</t>
  </si>
  <si>
    <t xml:space="preserve">Install CH2 LED, set height with cuvette block </t>
  </si>
  <si>
    <t xml:space="preserve">640nm (for Cy5) </t>
  </si>
  <si>
    <t>(+) F16 (-) G16</t>
  </si>
  <si>
    <t>Install 5V wires</t>
  </si>
  <si>
    <t>B12 - F1 (on leg), E12 - F13, G13 - F16 (on leg), i13 - i10+i9</t>
  </si>
  <si>
    <t>B13 - i7</t>
  </si>
  <si>
    <t>B14 - i1</t>
  </si>
  <si>
    <t>B15- i16</t>
  </si>
  <si>
    <t>B16 - i8</t>
  </si>
  <si>
    <t>pull 6 pins from a spare header</t>
  </si>
  <si>
    <t>use the remaining plastic bar to double the spacer off the A side of the drop board</t>
  </si>
  <si>
    <t>connect the boards at A12 on the cantilever board, A17 on the excitation board</t>
  </si>
  <si>
    <t>STELLA Lab Spec PCR Tube Cantilever Board</t>
  </si>
  <si>
    <t>GH7, …GH12</t>
  </si>
  <si>
    <t>Pull 6 pins from a spare pin header</t>
  </si>
  <si>
    <t>Install the pins, sticking up from the board, into a right angle socket header</t>
  </si>
  <si>
    <t>F7,…F12</t>
  </si>
  <si>
    <t>1ABC, A4, B5, C6, C13, B14, A16, 17ABC</t>
  </si>
  <si>
    <t>REAR, single layer, no crossovers</t>
  </si>
  <si>
    <t>H8 - E2</t>
  </si>
  <si>
    <t>H7 - E1</t>
  </si>
  <si>
    <t>H9 - E13</t>
  </si>
  <si>
    <t>i10 - E17</t>
  </si>
  <si>
    <t>G10 - D14</t>
  </si>
  <si>
    <t>G11 - E15</t>
  </si>
  <si>
    <t>G12 - E6</t>
  </si>
  <si>
    <t>G8 - E5</t>
  </si>
  <si>
    <t>test the sensor function with the qwiic connect cable before installing</t>
  </si>
  <si>
    <t>Mount the detector board, face up, extending off the cantilever board</t>
  </si>
  <si>
    <t>J7, …J12</t>
  </si>
  <si>
    <t>STELLA Lab Spec PCR tube excitation board</t>
  </si>
  <si>
    <t>Cut trace</t>
  </si>
  <si>
    <t>E6-E7</t>
  </si>
  <si>
    <t>install right angle pin headers</t>
  </si>
  <si>
    <t>6 pos, 2 places</t>
  </si>
  <si>
    <t>i4, … i9</t>
  </si>
  <si>
    <t>test the CH0 LED polarity before installing</t>
  </si>
  <si>
    <t xml:space="preserve">install CH0 LED </t>
  </si>
  <si>
    <t>[+,2] G6,G7 [-,1, dot] D6,D7</t>
  </si>
  <si>
    <t>install CH1 LED</t>
  </si>
  <si>
    <t>[+] F11, [-] E11</t>
  </si>
  <si>
    <t>install CH2 LED</t>
  </si>
  <si>
    <t>[+] F2, [-] E2</t>
  </si>
  <si>
    <t>REAR: G8 - C7</t>
  </si>
  <si>
    <t>Install current limit resistor CH1</t>
  </si>
  <si>
    <t>REAR: G9 - E10</t>
  </si>
  <si>
    <t>Install current limit resistor CH2</t>
  </si>
  <si>
    <t>REAR: G4 - G1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</si>
</sst>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13"/>
      <name val="Helvetica Neue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</fills>
  <borders count="2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0"/>
      </left>
      <right style="thin">
        <color indexed="17"/>
      </right>
      <top style="medium">
        <color indexed="8"/>
      </top>
      <bottom style="thin">
        <color indexed="10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0"/>
      </bottom>
      <diagonal/>
    </border>
    <border>
      <left style="thin">
        <color indexed="10"/>
      </left>
      <right style="thin">
        <color indexed="17"/>
      </right>
      <top style="thin">
        <color indexed="10"/>
      </top>
      <bottom style="thin">
        <color indexed="10"/>
      </bottom>
      <diagonal/>
    </border>
    <border>
      <left style="thin">
        <color indexed="17"/>
      </left>
      <right style="thin">
        <color indexed="17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7"/>
      </right>
      <top style="thin">
        <color indexed="10"/>
      </top>
      <bottom style="thin">
        <color indexed="14"/>
      </bottom>
      <diagonal/>
    </border>
    <border>
      <left style="thin">
        <color indexed="17"/>
      </left>
      <right style="thin">
        <color indexed="17"/>
      </right>
      <top style="thin">
        <color indexed="10"/>
      </top>
      <bottom style="thin">
        <color indexed="14"/>
      </bottom>
      <diagonal/>
    </border>
    <border>
      <left style="thin">
        <color indexed="10"/>
      </left>
      <right style="thin">
        <color indexed="17"/>
      </right>
      <top style="thin">
        <color indexed="10"/>
      </top>
      <bottom style="thin">
        <color indexed="17"/>
      </bottom>
      <diagonal/>
    </border>
    <border>
      <left style="thin">
        <color indexed="10"/>
      </left>
      <right style="thin">
        <color indexed="17"/>
      </right>
      <top style="thin">
        <color indexed="17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7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8" applyNumberFormat="1" applyFont="1" applyFill="1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2" borderId="4" applyNumberFormat="0" applyFont="1" applyFill="0" applyBorder="1" applyAlignment="1" applyProtection="0">
      <alignment vertical="top" wrapText="1"/>
    </xf>
    <xf numFmtId="49" fontId="2" borderId="4" applyNumberFormat="1" applyFont="1" applyFill="0" applyBorder="1" applyAlignment="1" applyProtection="0">
      <alignment vertical="top" wrapText="1"/>
    </xf>
    <xf numFmtId="0" fontId="2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horizontal="center" vertical="top" wrapText="1"/>
    </xf>
    <xf numFmtId="0" fontId="2" fillId="3" borderId="5" applyNumberFormat="1" applyFont="1" applyFill="1" applyBorder="1" applyAlignment="1" applyProtection="0">
      <alignment horizontal="center" vertical="top" wrapText="1"/>
    </xf>
    <xf numFmtId="49" fontId="3" fillId="4" borderId="10" applyNumberFormat="1" applyFont="1" applyFill="1" applyBorder="1" applyAlignment="1" applyProtection="0">
      <alignment horizontal="center" vertical="top" wrapText="1"/>
    </xf>
    <xf numFmtId="0" fontId="0" borderId="10" applyNumberFormat="1" applyFont="1" applyFill="0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49" fontId="0" fillId="5" borderId="12" applyNumberFormat="1" applyFont="1" applyFill="1" applyBorder="1" applyAlignment="1" applyProtection="0">
      <alignment horizontal="center" vertical="top" wrapText="1"/>
    </xf>
    <xf numFmtId="0" fontId="0" borderId="12" applyNumberFormat="1" applyFont="1" applyFill="0" applyBorder="1" applyAlignment="1" applyProtection="0">
      <alignment vertical="top" wrapText="1"/>
    </xf>
    <xf numFmtId="49" fontId="0" fillId="6" borderId="13" applyNumberFormat="1" applyFont="1" applyFill="1" applyBorder="1" applyAlignment="1" applyProtection="0">
      <alignment horizontal="center" vertical="top" wrapText="1"/>
    </xf>
    <xf numFmtId="49" fontId="0" borderId="14" applyNumberFormat="1" applyFont="1" applyFill="0" applyBorder="1" applyAlignment="1" applyProtection="0">
      <alignment vertical="top" wrapText="1"/>
    </xf>
    <xf numFmtId="49" fontId="0" borderId="15" applyNumberFormat="1" applyFont="1" applyFill="0" applyBorder="1" applyAlignment="1" applyProtection="0">
      <alignment horizontal="center" vertical="top" wrapText="1"/>
    </xf>
    <xf numFmtId="0" fontId="0" borderId="16" applyNumberFormat="1" applyFont="1" applyFill="0" applyBorder="1" applyAlignment="1" applyProtection="0">
      <alignment vertical="top" wrapText="1"/>
    </xf>
    <xf numFmtId="49" fontId="0" fillId="7" borderId="17" applyNumberFormat="1" applyFont="1" applyFill="1" applyBorder="1" applyAlignment="1" applyProtection="0">
      <alignment horizontal="center" vertical="top" wrapText="1"/>
    </xf>
    <xf numFmtId="0" fontId="0" borderId="18" applyNumberFormat="1" applyFont="1" applyFill="0" applyBorder="1" applyAlignment="1" applyProtection="0">
      <alignment vertical="top" wrapText="1"/>
    </xf>
    <xf numFmtId="49" fontId="0" fillId="8" borderId="19" applyNumberFormat="1" applyFont="1" applyFill="1" applyBorder="1" applyAlignment="1" applyProtection="0">
      <alignment horizontal="center" vertical="top" wrapText="1"/>
    </xf>
    <xf numFmtId="0" fontId="0" borderId="20" applyNumberFormat="1" applyFont="1" applyFill="0" applyBorder="1" applyAlignment="1" applyProtection="0">
      <alignment vertical="top" wrapText="1"/>
    </xf>
    <xf numFmtId="49" fontId="0" fillId="9" borderId="19" applyNumberFormat="1" applyFont="1" applyFill="1" applyBorder="1" applyAlignment="1" applyProtection="0">
      <alignment horizontal="center" vertical="top" wrapText="1"/>
    </xf>
    <xf numFmtId="49" fontId="0" fillId="10" borderId="21" applyNumberFormat="1" applyFont="1" applyFill="1" applyBorder="1" applyAlignment="1" applyProtection="0">
      <alignment horizontal="center" vertical="top" wrapText="1"/>
    </xf>
    <xf numFmtId="0" fontId="0" borderId="22" applyNumberFormat="1" applyFont="1" applyFill="0" applyBorder="1" applyAlignment="1" applyProtection="0">
      <alignment vertical="top" wrapText="1"/>
    </xf>
    <xf numFmtId="49" fontId="0" fillId="11" borderId="12" applyNumberFormat="1" applyFont="1" applyFill="1" applyBorder="1" applyAlignment="1" applyProtection="0">
      <alignment horizontal="center" vertical="top" wrapText="1"/>
    </xf>
    <xf numFmtId="0" fontId="2" fillId="3" borderId="5" applyNumberFormat="0" applyFont="1" applyFill="1" applyBorder="1" applyAlignment="1" applyProtection="0">
      <alignment horizontal="center"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8" borderId="23" applyNumberFormat="1" applyFont="1" applyFill="1" applyBorder="1" applyAlignment="1" applyProtection="0">
      <alignment horizontal="center" vertical="top" wrapText="1"/>
    </xf>
    <xf numFmtId="49" fontId="0" fillId="7" borderId="24" applyNumberFormat="1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0" fontId="0" borderId="25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10" borderId="19" applyNumberFormat="1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efffe"/>
      <rgbColor rgb="fff8b1a9"/>
      <rgbColor rgb="ffed220b"/>
      <rgbColor rgb="ff1cb000"/>
      <rgbColor rgb="ffbfbfbf"/>
      <rgbColor rgb="fff27100"/>
      <rgbColor rgb="fffff056"/>
      <rgbColor rgb="ff00a1fe"/>
      <rgbColor rgb="ffac39eb"/>
      <rgbColor rgb="ff91919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6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7.70312" style="1" customWidth="1"/>
    <col min="2" max="2" width="5.67188" style="1" customWidth="1"/>
    <col min="3" max="3" width="33.5" style="1" customWidth="1"/>
    <col min="4" max="4" width="4.17188" style="1" customWidth="1"/>
    <col min="5" max="10" width="16.3516" style="1" customWidth="1"/>
    <col min="11" max="11" width="70.5" style="1" customWidth="1"/>
    <col min="1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</row>
    <row r="3" ht="20.25" customHeight="1">
      <c r="A3" s="4">
        <v>15</v>
      </c>
      <c r="B3" t="s" s="5">
        <v>12</v>
      </c>
      <c r="C3" t="s" s="6">
        <v>13</v>
      </c>
      <c r="D3" s="7">
        <v>1</v>
      </c>
      <c r="E3" t="s" s="6">
        <v>14</v>
      </c>
      <c r="F3" t="s" s="6">
        <v>15</v>
      </c>
      <c r="G3" s="8"/>
      <c r="H3" s="8"/>
      <c r="I3" s="8"/>
      <c r="J3" s="7" cm="1">
        <f t="array" ref="J3">I3*D3</f>
        <v>0</v>
      </c>
      <c r="K3" s="8"/>
    </row>
    <row r="4" ht="20.05" customHeight="1">
      <c r="A4" s="9">
        <v>40</v>
      </c>
      <c r="B4" t="s" s="10">
        <v>16</v>
      </c>
      <c r="C4" t="s" s="11">
        <v>17</v>
      </c>
      <c r="D4" s="12">
        <v>1</v>
      </c>
      <c r="E4" t="s" s="11">
        <v>18</v>
      </c>
      <c r="F4" t="s" s="11">
        <v>15</v>
      </c>
      <c r="G4" s="13"/>
      <c r="H4" s="13"/>
      <c r="I4" s="13"/>
      <c r="J4" s="12" cm="1">
        <f t="array" ref="J4">I4*D4</f>
        <v>0</v>
      </c>
      <c r="K4" s="13"/>
    </row>
    <row r="5" ht="20.05" customHeight="1">
      <c r="A5" s="9">
        <v>9</v>
      </c>
      <c r="B5" t="s" s="10">
        <v>19</v>
      </c>
      <c r="C5" t="s" s="11">
        <v>20</v>
      </c>
      <c r="D5" s="12">
        <v>4</v>
      </c>
      <c r="E5" t="s" s="11">
        <v>21</v>
      </c>
      <c r="F5" t="s" s="11">
        <v>22</v>
      </c>
      <c r="G5" s="13"/>
      <c r="H5" s="13"/>
      <c r="I5" s="13"/>
      <c r="J5" s="12" cm="1">
        <f t="array" ref="J5">I5*D5</f>
        <v>0</v>
      </c>
      <c r="K5" s="13"/>
    </row>
    <row r="6" ht="20.05" customHeight="1">
      <c r="A6" s="9">
        <v>8</v>
      </c>
      <c r="B6" t="s" s="10">
        <v>19</v>
      </c>
      <c r="C6" t="s" s="11">
        <v>23</v>
      </c>
      <c r="D6" s="12">
        <v>4</v>
      </c>
      <c r="E6" t="s" s="11">
        <v>21</v>
      </c>
      <c r="F6" t="s" s="11">
        <v>22</v>
      </c>
      <c r="G6" s="13"/>
      <c r="H6" s="13"/>
      <c r="I6" s="13"/>
      <c r="J6" s="12" cm="1">
        <f t="array" ref="J6">I6*D6</f>
        <v>0</v>
      </c>
      <c r="K6" s="13"/>
    </row>
    <row r="7" ht="20.05" customHeight="1">
      <c r="A7" s="9">
        <v>20</v>
      </c>
      <c r="B7" t="s" s="10">
        <v>12</v>
      </c>
      <c r="C7" t="s" s="11">
        <v>24</v>
      </c>
      <c r="D7" s="12">
        <v>1</v>
      </c>
      <c r="E7" t="s" s="11">
        <v>14</v>
      </c>
      <c r="F7" t="s" s="11">
        <v>22</v>
      </c>
      <c r="G7" s="13"/>
      <c r="H7" s="13"/>
      <c r="I7" s="13"/>
      <c r="J7" s="12" cm="1">
        <f t="array" ref="J7">I7*D7</f>
        <v>0</v>
      </c>
      <c r="K7" s="13"/>
    </row>
    <row r="8" ht="20.05" customHeight="1">
      <c r="A8" s="9">
        <v>50</v>
      </c>
      <c r="B8" t="s" s="10">
        <v>16</v>
      </c>
      <c r="C8" t="s" s="11">
        <v>24</v>
      </c>
      <c r="D8" s="12">
        <v>1</v>
      </c>
      <c r="E8" t="s" s="11">
        <v>18</v>
      </c>
      <c r="F8" t="s" s="11">
        <v>22</v>
      </c>
      <c r="G8" s="13"/>
      <c r="H8" s="13"/>
      <c r="I8" s="13"/>
      <c r="J8" s="12" cm="1">
        <f t="array" ref="J8">I8*D8</f>
        <v>0</v>
      </c>
      <c r="K8" s="13"/>
    </row>
    <row r="9" ht="20.05" customHeight="1">
      <c r="A9" s="9">
        <v>22</v>
      </c>
      <c r="B9" t="s" s="10">
        <v>12</v>
      </c>
      <c r="C9" t="s" s="11">
        <v>25</v>
      </c>
      <c r="D9" s="12">
        <v>1</v>
      </c>
      <c r="E9" t="s" s="11">
        <v>14</v>
      </c>
      <c r="F9" t="s" s="11">
        <v>22</v>
      </c>
      <c r="G9" s="13"/>
      <c r="H9" s="13"/>
      <c r="I9" s="13"/>
      <c r="J9" s="12" cm="1">
        <f t="array" ref="J9">I9*D9</f>
        <v>0</v>
      </c>
      <c r="K9" s="13"/>
    </row>
    <row r="10" ht="20.05" customHeight="1">
      <c r="A10" s="9">
        <v>52</v>
      </c>
      <c r="B10" t="s" s="10">
        <v>16</v>
      </c>
      <c r="C10" t="s" s="11">
        <v>25</v>
      </c>
      <c r="D10" s="12">
        <v>1</v>
      </c>
      <c r="E10" t="s" s="11">
        <v>18</v>
      </c>
      <c r="F10" t="s" s="11">
        <v>22</v>
      </c>
      <c r="G10" s="13"/>
      <c r="H10" s="13"/>
      <c r="I10" s="13"/>
      <c r="J10" s="12" cm="1">
        <f t="array" ref="J10">I10*D10</f>
        <v>0</v>
      </c>
      <c r="K10" s="13"/>
    </row>
    <row r="11" ht="20.05" customHeight="1">
      <c r="A11" s="9">
        <v>10</v>
      </c>
      <c r="B11" t="s" s="10">
        <v>19</v>
      </c>
      <c r="C11" t="s" s="11">
        <v>26</v>
      </c>
      <c r="D11" s="12">
        <v>4</v>
      </c>
      <c r="E11" t="s" s="11">
        <v>21</v>
      </c>
      <c r="F11" t="s" s="11">
        <v>22</v>
      </c>
      <c r="G11" s="13"/>
      <c r="H11" s="13"/>
      <c r="I11" s="13"/>
      <c r="J11" s="12" cm="1">
        <f t="array" ref="J11">I11*D11</f>
        <v>0</v>
      </c>
      <c r="K11" s="13"/>
    </row>
    <row r="12" ht="20.05" customHeight="1">
      <c r="A12" s="9">
        <v>26</v>
      </c>
      <c r="B12" t="s" s="10">
        <v>12</v>
      </c>
      <c r="C12" t="s" s="11">
        <v>26</v>
      </c>
      <c r="D12" s="12">
        <v>2</v>
      </c>
      <c r="E12" t="s" s="11">
        <v>14</v>
      </c>
      <c r="F12" t="s" s="11">
        <v>22</v>
      </c>
      <c r="G12" s="13"/>
      <c r="H12" s="13"/>
      <c r="I12" s="13"/>
      <c r="J12" s="12" cm="1">
        <f t="array" ref="J12">I12*D12</f>
        <v>0</v>
      </c>
      <c r="K12" s="13"/>
    </row>
    <row r="13" ht="20.05" customHeight="1">
      <c r="A13" s="9">
        <v>49</v>
      </c>
      <c r="B13" t="s" s="10">
        <v>16</v>
      </c>
      <c r="C13" t="s" s="11">
        <v>26</v>
      </c>
      <c r="D13" s="12">
        <v>2</v>
      </c>
      <c r="E13" t="s" s="11">
        <v>18</v>
      </c>
      <c r="F13" t="s" s="11">
        <v>22</v>
      </c>
      <c r="G13" s="13"/>
      <c r="H13" s="13"/>
      <c r="I13" s="13"/>
      <c r="J13" s="12" cm="1">
        <f t="array" ref="J13">I13*D13</f>
        <v>0</v>
      </c>
      <c r="K13" s="13"/>
    </row>
    <row r="14" ht="20.05" customHeight="1">
      <c r="A14" s="9">
        <v>21</v>
      </c>
      <c r="B14" t="s" s="10">
        <v>12</v>
      </c>
      <c r="C14" t="s" s="11">
        <v>27</v>
      </c>
      <c r="D14" s="12">
        <v>1</v>
      </c>
      <c r="E14" t="s" s="11">
        <v>14</v>
      </c>
      <c r="F14" t="s" s="11">
        <v>22</v>
      </c>
      <c r="G14" s="13"/>
      <c r="H14" s="13"/>
      <c r="I14" s="13"/>
      <c r="J14" s="12" cm="1">
        <f t="array" ref="J14">I14*D14</f>
        <v>0</v>
      </c>
      <c r="K14" s="13"/>
    </row>
    <row r="15" ht="20.05" customHeight="1">
      <c r="A15" s="9">
        <v>51</v>
      </c>
      <c r="B15" t="s" s="10">
        <v>16</v>
      </c>
      <c r="C15" t="s" s="11">
        <v>27</v>
      </c>
      <c r="D15" s="12">
        <v>1</v>
      </c>
      <c r="E15" t="s" s="11">
        <v>18</v>
      </c>
      <c r="F15" t="s" s="11">
        <v>22</v>
      </c>
      <c r="G15" s="13"/>
      <c r="H15" s="13"/>
      <c r="I15" s="13"/>
      <c r="J15" s="12" cm="1">
        <f t="array" ref="J15">I15*D15</f>
        <v>0</v>
      </c>
      <c r="K15" s="13"/>
    </row>
    <row r="16" ht="20.05" customHeight="1">
      <c r="A16" s="9">
        <v>4</v>
      </c>
      <c r="B16" t="s" s="10">
        <v>19</v>
      </c>
      <c r="C16" t="s" s="11">
        <v>28</v>
      </c>
      <c r="D16" s="12">
        <v>1</v>
      </c>
      <c r="E16" t="s" s="11">
        <v>21</v>
      </c>
      <c r="F16" t="s" s="11">
        <v>22</v>
      </c>
      <c r="G16" s="13"/>
      <c r="H16" s="13"/>
      <c r="I16" s="13"/>
      <c r="J16" s="12" cm="1">
        <f t="array" ref="J16">I16*D16</f>
        <v>0</v>
      </c>
      <c r="K16" s="13"/>
    </row>
    <row r="17" ht="20.05" customHeight="1">
      <c r="A17" s="9">
        <v>18</v>
      </c>
      <c r="B17" t="s" s="10">
        <v>12</v>
      </c>
      <c r="C17" t="s" s="11">
        <v>29</v>
      </c>
      <c r="D17" s="12">
        <v>1</v>
      </c>
      <c r="E17" t="s" s="11">
        <v>14</v>
      </c>
      <c r="F17" t="s" s="11">
        <v>22</v>
      </c>
      <c r="G17" s="13"/>
      <c r="H17" s="13"/>
      <c r="I17" s="13"/>
      <c r="J17" s="12" cm="1">
        <f t="array" ref="J17">I17*D17</f>
        <v>0</v>
      </c>
      <c r="K17" s="13"/>
    </row>
    <row r="18" ht="20.05" customHeight="1">
      <c r="A18" s="9">
        <v>48</v>
      </c>
      <c r="B18" t="s" s="10">
        <v>16</v>
      </c>
      <c r="C18" t="s" s="11">
        <v>29</v>
      </c>
      <c r="D18" s="12">
        <v>1</v>
      </c>
      <c r="E18" t="s" s="11">
        <v>18</v>
      </c>
      <c r="F18" t="s" s="11">
        <v>22</v>
      </c>
      <c r="G18" s="13"/>
      <c r="H18" s="13"/>
      <c r="I18" s="13"/>
      <c r="J18" s="12" cm="1">
        <f t="array" ref="J18">I18*D18</f>
        <v>0</v>
      </c>
      <c r="K18" s="13"/>
    </row>
    <row r="19" ht="20.05" customHeight="1">
      <c r="A19" s="9">
        <v>1</v>
      </c>
      <c r="B19" t="s" s="10">
        <v>19</v>
      </c>
      <c r="C19" t="s" s="11">
        <v>30</v>
      </c>
      <c r="D19" s="12">
        <v>1</v>
      </c>
      <c r="E19" t="s" s="11">
        <v>21</v>
      </c>
      <c r="F19" t="s" s="11">
        <v>22</v>
      </c>
      <c r="G19" s="13"/>
      <c r="H19" s="13"/>
      <c r="I19" s="13"/>
      <c r="J19" s="12" cm="1">
        <f t="array" ref="J19">I19*D19</f>
        <v>0</v>
      </c>
      <c r="K19" s="13"/>
    </row>
    <row r="20" ht="20.05" customHeight="1">
      <c r="A20" s="9">
        <v>5</v>
      </c>
      <c r="B20" t="s" s="10">
        <v>19</v>
      </c>
      <c r="C20" t="s" s="11">
        <v>31</v>
      </c>
      <c r="D20" s="12">
        <v>1</v>
      </c>
      <c r="E20" t="s" s="11">
        <v>21</v>
      </c>
      <c r="F20" t="s" s="11">
        <v>22</v>
      </c>
      <c r="G20" s="13"/>
      <c r="H20" s="13"/>
      <c r="I20" s="13"/>
      <c r="J20" s="12" cm="1">
        <f t="array" ref="J20">I20*D20</f>
        <v>0</v>
      </c>
      <c r="K20" s="13"/>
    </row>
    <row r="21" ht="20.05" customHeight="1">
      <c r="A21" s="9">
        <v>3</v>
      </c>
      <c r="B21" t="s" s="10">
        <v>19</v>
      </c>
      <c r="C21" t="s" s="11">
        <v>32</v>
      </c>
      <c r="D21" s="12">
        <v>1</v>
      </c>
      <c r="E21" t="s" s="11">
        <v>21</v>
      </c>
      <c r="F21" t="s" s="11">
        <v>22</v>
      </c>
      <c r="G21" s="13"/>
      <c r="H21" s="13"/>
      <c r="I21" s="13"/>
      <c r="J21" s="12" cm="1">
        <f t="array" ref="J21">I21*D21</f>
        <v>0</v>
      </c>
      <c r="K21" s="13"/>
    </row>
    <row r="22" ht="20.05" customHeight="1">
      <c r="A22" s="9">
        <v>2</v>
      </c>
      <c r="B22" t="s" s="10">
        <v>19</v>
      </c>
      <c r="C22" t="s" s="11">
        <v>33</v>
      </c>
      <c r="D22" s="12">
        <v>1</v>
      </c>
      <c r="E22" t="s" s="11">
        <v>21</v>
      </c>
      <c r="F22" t="s" s="11">
        <v>22</v>
      </c>
      <c r="G22" s="13"/>
      <c r="H22" s="13"/>
      <c r="I22" s="13"/>
      <c r="J22" s="12" cm="1">
        <f t="array" ref="J22">I22*D22</f>
        <v>0</v>
      </c>
      <c r="K22" s="13"/>
    </row>
    <row r="23" ht="20.05" customHeight="1">
      <c r="A23" s="9">
        <v>24</v>
      </c>
      <c r="B23" t="s" s="10">
        <v>12</v>
      </c>
      <c r="C23" t="s" s="11">
        <v>34</v>
      </c>
      <c r="D23" s="12">
        <v>1</v>
      </c>
      <c r="E23" t="s" s="11">
        <v>14</v>
      </c>
      <c r="F23" t="s" s="11">
        <v>22</v>
      </c>
      <c r="G23" s="13"/>
      <c r="H23" s="13"/>
      <c r="I23" s="13"/>
      <c r="J23" s="12" cm="1">
        <f t="array" ref="J23">I23*D23</f>
        <v>0</v>
      </c>
      <c r="K23" s="13"/>
    </row>
    <row r="24" ht="20.05" customHeight="1">
      <c r="A24" s="9">
        <v>43</v>
      </c>
      <c r="B24" t="s" s="10">
        <v>16</v>
      </c>
      <c r="C24" t="s" s="11">
        <v>34</v>
      </c>
      <c r="D24" s="12">
        <v>1</v>
      </c>
      <c r="E24" t="s" s="11">
        <v>18</v>
      </c>
      <c r="F24" t="s" s="11">
        <v>22</v>
      </c>
      <c r="G24" s="13"/>
      <c r="H24" s="13"/>
      <c r="I24" s="13"/>
      <c r="J24" s="12" cm="1">
        <f t="array" ref="J24">I24*D24</f>
        <v>0</v>
      </c>
      <c r="K24" s="13"/>
    </row>
    <row r="25" ht="20.05" customHeight="1">
      <c r="A25" s="9">
        <v>23</v>
      </c>
      <c r="B25" t="s" s="10">
        <v>12</v>
      </c>
      <c r="C25" t="s" s="11">
        <v>35</v>
      </c>
      <c r="D25" s="12">
        <v>1</v>
      </c>
      <c r="E25" t="s" s="11">
        <v>14</v>
      </c>
      <c r="F25" t="s" s="11">
        <v>22</v>
      </c>
      <c r="G25" s="13"/>
      <c r="H25" s="13"/>
      <c r="I25" s="13"/>
      <c r="J25" s="12" cm="1">
        <f t="array" ref="J25">I25*D25</f>
        <v>0</v>
      </c>
      <c r="K25" s="13"/>
    </row>
    <row r="26" ht="20.05" customHeight="1">
      <c r="A26" s="9">
        <v>42</v>
      </c>
      <c r="B26" t="s" s="10">
        <v>16</v>
      </c>
      <c r="C26" t="s" s="11">
        <v>35</v>
      </c>
      <c r="D26" s="12">
        <v>1</v>
      </c>
      <c r="E26" t="s" s="11">
        <v>18</v>
      </c>
      <c r="F26" t="s" s="11">
        <v>22</v>
      </c>
      <c r="G26" s="13"/>
      <c r="H26" s="13"/>
      <c r="I26" s="13"/>
      <c r="J26" s="12" cm="1">
        <f t="array" ref="J26">I26*D26</f>
        <v>0</v>
      </c>
      <c r="K26" s="13"/>
    </row>
    <row r="27" ht="20.05" customHeight="1">
      <c r="A27" s="9">
        <v>45</v>
      </c>
      <c r="B27" t="s" s="10">
        <v>16</v>
      </c>
      <c r="C27" t="s" s="11">
        <v>36</v>
      </c>
      <c r="D27" s="12">
        <v>1</v>
      </c>
      <c r="E27" t="s" s="11">
        <v>18</v>
      </c>
      <c r="F27" t="s" s="11">
        <v>22</v>
      </c>
      <c r="G27" s="13"/>
      <c r="H27" s="13"/>
      <c r="I27" s="13"/>
      <c r="J27" s="12" cm="1">
        <f t="array" ref="J27">I27*D27</f>
        <v>0</v>
      </c>
      <c r="K27" s="13"/>
    </row>
    <row r="28" ht="20.05" customHeight="1">
      <c r="A28" s="9">
        <v>28</v>
      </c>
      <c r="B28" t="s" s="10">
        <v>12</v>
      </c>
      <c r="C28" t="s" s="11">
        <v>37</v>
      </c>
      <c r="D28" s="12">
        <v>3</v>
      </c>
      <c r="E28" t="s" s="11">
        <v>14</v>
      </c>
      <c r="F28" t="s" s="11">
        <v>22</v>
      </c>
      <c r="G28" s="13"/>
      <c r="H28" s="13"/>
      <c r="I28" s="13"/>
      <c r="J28" s="12" cm="1">
        <f t="array" ref="J28">I28*D28</f>
        <v>0</v>
      </c>
      <c r="K28" s="13"/>
    </row>
    <row r="29" ht="20.05" customHeight="1">
      <c r="A29" s="9">
        <v>25</v>
      </c>
      <c r="B29" t="s" s="10">
        <v>12</v>
      </c>
      <c r="C29" t="s" s="11">
        <v>38</v>
      </c>
      <c r="D29" s="12">
        <v>6</v>
      </c>
      <c r="E29" t="s" s="11">
        <v>14</v>
      </c>
      <c r="F29" t="s" s="11">
        <v>22</v>
      </c>
      <c r="G29" s="13"/>
      <c r="H29" s="13"/>
      <c r="I29" s="13"/>
      <c r="J29" s="12" cm="1">
        <f t="array" ref="J29">I29*D29</f>
        <v>0</v>
      </c>
      <c r="K29" s="13"/>
    </row>
    <row r="30" ht="20.05" customHeight="1">
      <c r="A30" s="9">
        <v>44</v>
      </c>
      <c r="B30" t="s" s="10">
        <v>16</v>
      </c>
      <c r="C30" t="s" s="11">
        <v>38</v>
      </c>
      <c r="D30" s="12">
        <v>12</v>
      </c>
      <c r="E30" t="s" s="11">
        <v>18</v>
      </c>
      <c r="F30" t="s" s="11">
        <v>22</v>
      </c>
      <c r="G30" s="13"/>
      <c r="H30" s="13"/>
      <c r="I30" s="13"/>
      <c r="J30" s="12" cm="1">
        <f t="array" ref="J30">I30*D30</f>
        <v>0</v>
      </c>
      <c r="K30" s="13"/>
    </row>
    <row r="31" ht="20.05" customHeight="1">
      <c r="A31" s="9">
        <v>7</v>
      </c>
      <c r="B31" t="s" s="10">
        <v>19</v>
      </c>
      <c r="C31" t="s" s="11">
        <v>39</v>
      </c>
      <c r="D31" s="12">
        <v>4</v>
      </c>
      <c r="E31" t="s" s="11">
        <v>21</v>
      </c>
      <c r="F31" t="s" s="11">
        <v>22</v>
      </c>
      <c r="G31" s="13"/>
      <c r="H31" s="13"/>
      <c r="I31" s="13"/>
      <c r="J31" s="12" cm="1">
        <f t="array" ref="J31">I31*D31</f>
        <v>0</v>
      </c>
      <c r="K31" s="13"/>
    </row>
    <row r="32" ht="20.05" customHeight="1">
      <c r="A32" s="9">
        <v>19</v>
      </c>
      <c r="B32" t="s" s="10">
        <v>12</v>
      </c>
      <c r="C32" t="s" s="11">
        <v>40</v>
      </c>
      <c r="D32" s="12">
        <v>1</v>
      </c>
      <c r="E32" t="s" s="11">
        <v>14</v>
      </c>
      <c r="F32" t="s" s="11">
        <v>22</v>
      </c>
      <c r="G32" s="13"/>
      <c r="H32" s="13"/>
      <c r="I32" s="13"/>
      <c r="J32" s="12" cm="1">
        <f t="array" ref="J32">I32*D32</f>
        <v>0</v>
      </c>
      <c r="K32" s="13"/>
    </row>
    <row r="33" ht="20.05" customHeight="1">
      <c r="A33" s="9">
        <v>53</v>
      </c>
      <c r="B33" t="s" s="10">
        <v>16</v>
      </c>
      <c r="C33" t="s" s="11">
        <v>40</v>
      </c>
      <c r="D33" s="12">
        <v>1</v>
      </c>
      <c r="E33" t="s" s="11">
        <v>18</v>
      </c>
      <c r="F33" t="s" s="11">
        <v>22</v>
      </c>
      <c r="G33" s="13"/>
      <c r="H33" s="13"/>
      <c r="I33" s="13"/>
      <c r="J33" s="12" cm="1">
        <f t="array" ref="J33">I33*D33</f>
        <v>0</v>
      </c>
      <c r="K33" s="13"/>
    </row>
    <row r="34" ht="20.05" customHeight="1">
      <c r="A34" s="9">
        <v>17</v>
      </c>
      <c r="B34" t="s" s="10">
        <v>12</v>
      </c>
      <c r="C34" t="s" s="11">
        <v>41</v>
      </c>
      <c r="D34" s="12">
        <v>1</v>
      </c>
      <c r="E34" t="s" s="11">
        <v>14</v>
      </c>
      <c r="F34" t="s" s="11">
        <v>22</v>
      </c>
      <c r="G34" s="13"/>
      <c r="H34" s="13"/>
      <c r="I34" s="13"/>
      <c r="J34" s="12" cm="1">
        <f t="array" ref="J34">I34*D34</f>
        <v>0</v>
      </c>
      <c r="K34" s="13"/>
    </row>
    <row r="35" ht="20.05" customHeight="1">
      <c r="A35" s="9">
        <v>47</v>
      </c>
      <c r="B35" t="s" s="10">
        <v>16</v>
      </c>
      <c r="C35" t="s" s="11">
        <v>41</v>
      </c>
      <c r="D35" s="12">
        <v>1</v>
      </c>
      <c r="E35" t="s" s="11">
        <v>18</v>
      </c>
      <c r="F35" t="s" s="11">
        <v>22</v>
      </c>
      <c r="G35" s="13"/>
      <c r="H35" s="13"/>
      <c r="I35" s="13"/>
      <c r="J35" s="12" cm="1">
        <f t="array" ref="J35">I35*D35</f>
        <v>0</v>
      </c>
      <c r="K35" s="13"/>
    </row>
    <row r="36" ht="20.05" customHeight="1">
      <c r="A36" s="9">
        <v>13</v>
      </c>
      <c r="B36" t="s" s="10">
        <v>19</v>
      </c>
      <c r="C36" t="s" s="11">
        <v>42</v>
      </c>
      <c r="D36" s="12">
        <v>1</v>
      </c>
      <c r="E36" t="s" s="11">
        <v>21</v>
      </c>
      <c r="F36" t="s" s="11">
        <v>22</v>
      </c>
      <c r="G36" s="13"/>
      <c r="H36" s="13"/>
      <c r="I36" s="13"/>
      <c r="J36" s="12" cm="1">
        <f t="array" ref="J36">I36*D36</f>
        <v>0</v>
      </c>
      <c r="K36" s="13"/>
    </row>
    <row r="37" ht="20.05" customHeight="1">
      <c r="A37" s="9">
        <v>12</v>
      </c>
      <c r="B37" t="s" s="10">
        <v>19</v>
      </c>
      <c r="C37" t="s" s="11">
        <v>43</v>
      </c>
      <c r="D37" s="12">
        <v>1</v>
      </c>
      <c r="E37" t="s" s="11">
        <v>21</v>
      </c>
      <c r="F37" t="s" s="11">
        <v>22</v>
      </c>
      <c r="G37" s="13"/>
      <c r="H37" s="13"/>
      <c r="I37" s="13"/>
      <c r="J37" s="12" cm="1">
        <f t="array" ref="J37">I37*D37</f>
        <v>0</v>
      </c>
      <c r="K37" s="13"/>
    </row>
    <row r="38" ht="20.05" customHeight="1">
      <c r="A38" s="9">
        <v>11</v>
      </c>
      <c r="B38" t="s" s="10">
        <v>19</v>
      </c>
      <c r="C38" t="s" s="11">
        <v>44</v>
      </c>
      <c r="D38" s="12">
        <v>2</v>
      </c>
      <c r="E38" t="s" s="11">
        <v>21</v>
      </c>
      <c r="F38" t="s" s="11">
        <v>22</v>
      </c>
      <c r="G38" s="13"/>
      <c r="H38" s="13"/>
      <c r="I38" s="13"/>
      <c r="J38" s="12" cm="1">
        <f t="array" ref="J38">I38*D38</f>
        <v>0</v>
      </c>
      <c r="K38" s="13"/>
    </row>
    <row r="39" ht="20.05" customHeight="1">
      <c r="A39" s="9">
        <v>46</v>
      </c>
      <c r="B39" t="s" s="10">
        <v>16</v>
      </c>
      <c r="C39" t="s" s="11">
        <v>45</v>
      </c>
      <c r="D39" s="12">
        <v>1</v>
      </c>
      <c r="E39" t="s" s="11">
        <v>18</v>
      </c>
      <c r="F39" t="s" s="11">
        <v>22</v>
      </c>
      <c r="G39" s="13"/>
      <c r="H39" s="13"/>
      <c r="I39" s="13"/>
      <c r="J39" s="12" cm="1">
        <f t="array" ref="J39">I39*D39</f>
        <v>0</v>
      </c>
      <c r="K39" s="13"/>
    </row>
    <row r="40" ht="20.05" customHeight="1">
      <c r="A40" s="9">
        <v>16</v>
      </c>
      <c r="B40" t="s" s="10">
        <v>12</v>
      </c>
      <c r="C40" t="s" s="11">
        <v>46</v>
      </c>
      <c r="D40" s="12">
        <v>2</v>
      </c>
      <c r="E40" t="s" s="11">
        <v>14</v>
      </c>
      <c r="F40" t="s" s="11">
        <v>22</v>
      </c>
      <c r="G40" s="13"/>
      <c r="H40" s="13"/>
      <c r="I40" s="13"/>
      <c r="J40" s="12" cm="1">
        <f t="array" ref="J40">I40*D40</f>
        <v>0</v>
      </c>
      <c r="K40" s="13"/>
    </row>
    <row r="41" ht="20.05" customHeight="1">
      <c r="A41" s="9">
        <v>41</v>
      </c>
      <c r="B41" t="s" s="10">
        <v>16</v>
      </c>
      <c r="C41" t="s" s="11">
        <v>46</v>
      </c>
      <c r="D41" s="12">
        <v>1</v>
      </c>
      <c r="E41" t="s" s="11">
        <v>18</v>
      </c>
      <c r="F41" t="s" s="11">
        <v>22</v>
      </c>
      <c r="G41" s="13"/>
      <c r="H41" s="13"/>
      <c r="I41" s="13"/>
      <c r="J41" s="12" cm="1">
        <f t="array" ref="J41">I41*D41</f>
        <v>0</v>
      </c>
      <c r="K41" s="13"/>
    </row>
    <row r="42" ht="20.05" customHeight="1">
      <c r="A42" s="9">
        <v>27</v>
      </c>
      <c r="B42" t="s" s="10">
        <v>12</v>
      </c>
      <c r="C42" t="s" s="11">
        <v>47</v>
      </c>
      <c r="D42" s="12">
        <v>1</v>
      </c>
      <c r="E42" t="s" s="11">
        <v>14</v>
      </c>
      <c r="F42" t="s" s="11">
        <v>22</v>
      </c>
      <c r="G42" s="13"/>
      <c r="H42" s="13"/>
      <c r="I42" s="13"/>
      <c r="J42" s="12" cm="1">
        <f t="array" ref="J42">I42*D42</f>
        <v>0</v>
      </c>
      <c r="K42" s="13"/>
    </row>
    <row r="43" ht="20.05" customHeight="1">
      <c r="A43" s="9">
        <v>6</v>
      </c>
      <c r="B43" t="s" s="10">
        <v>19</v>
      </c>
      <c r="C43" t="s" s="11">
        <v>48</v>
      </c>
      <c r="D43" s="12">
        <v>4</v>
      </c>
      <c r="E43" t="s" s="11">
        <v>21</v>
      </c>
      <c r="F43" t="s" s="11">
        <v>22</v>
      </c>
      <c r="G43" s="13"/>
      <c r="H43" s="13"/>
      <c r="I43" s="13"/>
      <c r="J43" s="12" cm="1">
        <f t="array" ref="J43">I43*D43</f>
        <v>0</v>
      </c>
      <c r="K43" s="13"/>
    </row>
    <row r="44" ht="20.05" customHeight="1">
      <c r="A44" s="9">
        <v>29</v>
      </c>
      <c r="B44" t="s" s="10">
        <v>12</v>
      </c>
      <c r="C44" t="s" s="11">
        <v>49</v>
      </c>
      <c r="D44" s="12">
        <v>1</v>
      </c>
      <c r="E44" t="s" s="11">
        <v>14</v>
      </c>
      <c r="F44" t="s" s="11">
        <v>22</v>
      </c>
      <c r="G44" s="13"/>
      <c r="H44" s="13"/>
      <c r="I44" s="13"/>
      <c r="J44" s="12" cm="1">
        <f t="array" ref="J44">I44*D44</f>
        <v>0</v>
      </c>
      <c r="K44" s="13"/>
    </row>
    <row r="45" ht="20.05" customHeight="1">
      <c r="A45" s="9">
        <v>14</v>
      </c>
      <c r="B45" t="s" s="10">
        <v>19</v>
      </c>
      <c r="C45" t="s" s="11">
        <v>50</v>
      </c>
      <c r="D45" s="12">
        <v>1</v>
      </c>
      <c r="E45" t="s" s="11">
        <v>21</v>
      </c>
      <c r="F45" t="s" s="11">
        <v>51</v>
      </c>
      <c r="G45" s="13"/>
      <c r="H45" s="13"/>
      <c r="I45" s="13"/>
      <c r="J45" s="12" cm="1">
        <f t="array" ref="J45">I45*D45</f>
        <v>0</v>
      </c>
      <c r="K45" t="s" s="11">
        <v>52</v>
      </c>
    </row>
    <row r="46" ht="20.05" customHeight="1">
      <c r="A46" s="9">
        <v>33</v>
      </c>
      <c r="B46" t="s" s="10">
        <v>12</v>
      </c>
      <c r="C46" t="s" s="11">
        <v>53</v>
      </c>
      <c r="D46" s="12">
        <v>1</v>
      </c>
      <c r="E46" t="s" s="11">
        <v>14</v>
      </c>
      <c r="F46" t="s" s="11">
        <v>51</v>
      </c>
      <c r="G46" s="13"/>
      <c r="H46" s="13"/>
      <c r="I46" s="13"/>
      <c r="J46" s="12" cm="1">
        <f t="array" ref="J46">I46*D46</f>
        <v>0</v>
      </c>
      <c r="K46" t="s" s="11">
        <v>54</v>
      </c>
    </row>
    <row r="47" ht="20.05" customHeight="1">
      <c r="A47" s="9">
        <v>31</v>
      </c>
      <c r="B47" t="s" s="10">
        <v>12</v>
      </c>
      <c r="C47" t="s" s="11">
        <v>55</v>
      </c>
      <c r="D47" s="12">
        <v>1</v>
      </c>
      <c r="E47" t="s" s="11">
        <v>14</v>
      </c>
      <c r="F47" t="s" s="11">
        <v>51</v>
      </c>
      <c r="G47" s="13"/>
      <c r="H47" s="13"/>
      <c r="I47" s="13"/>
      <c r="J47" s="12" cm="1">
        <f t="array" ref="J47">I47*D47</f>
        <v>0</v>
      </c>
      <c r="K47" t="s" s="11">
        <v>54</v>
      </c>
    </row>
    <row r="48" ht="20.05" customHeight="1">
      <c r="A48" s="9">
        <v>32</v>
      </c>
      <c r="B48" t="s" s="10">
        <v>12</v>
      </c>
      <c r="C48" t="s" s="11">
        <v>56</v>
      </c>
      <c r="D48" s="12">
        <v>1</v>
      </c>
      <c r="E48" t="s" s="11">
        <v>14</v>
      </c>
      <c r="F48" t="s" s="11">
        <v>51</v>
      </c>
      <c r="G48" s="13"/>
      <c r="H48" s="13"/>
      <c r="I48" s="13"/>
      <c r="J48" s="12" cm="1">
        <f t="array" ref="J48">I48*D48</f>
        <v>0</v>
      </c>
      <c r="K48" t="s" s="11">
        <v>54</v>
      </c>
    </row>
    <row r="49" ht="20.05" customHeight="1">
      <c r="A49" s="9">
        <v>36</v>
      </c>
      <c r="B49" t="s" s="10">
        <v>12</v>
      </c>
      <c r="C49" t="s" s="11">
        <v>57</v>
      </c>
      <c r="D49" s="12">
        <v>1</v>
      </c>
      <c r="E49" t="s" s="11">
        <v>14</v>
      </c>
      <c r="F49" t="s" s="11">
        <v>51</v>
      </c>
      <c r="G49" s="13"/>
      <c r="H49" s="13"/>
      <c r="I49" s="13"/>
      <c r="J49" s="12" cm="1">
        <f t="array" ref="J49">I49*D49</f>
        <v>0</v>
      </c>
      <c r="K49" t="s" s="11">
        <v>54</v>
      </c>
    </row>
    <row r="50" ht="20.05" customHeight="1">
      <c r="A50" s="9">
        <v>37</v>
      </c>
      <c r="B50" t="s" s="10">
        <v>12</v>
      </c>
      <c r="C50" t="s" s="11">
        <v>58</v>
      </c>
      <c r="D50" s="12">
        <v>1</v>
      </c>
      <c r="E50" t="s" s="11">
        <v>14</v>
      </c>
      <c r="F50" t="s" s="11">
        <v>51</v>
      </c>
      <c r="G50" s="13"/>
      <c r="H50" s="13"/>
      <c r="I50" s="13"/>
      <c r="J50" s="12" cm="1">
        <f t="array" ref="J50">I50*D50</f>
        <v>0</v>
      </c>
      <c r="K50" t="s" s="11">
        <v>59</v>
      </c>
    </row>
    <row r="51" ht="20.05" customHeight="1">
      <c r="A51" s="9">
        <v>38</v>
      </c>
      <c r="B51" t="s" s="10">
        <v>12</v>
      </c>
      <c r="C51" t="s" s="11">
        <v>60</v>
      </c>
      <c r="D51" s="12">
        <v>1</v>
      </c>
      <c r="E51" t="s" s="11">
        <v>14</v>
      </c>
      <c r="F51" t="s" s="11">
        <v>51</v>
      </c>
      <c r="G51" s="13"/>
      <c r="H51" s="13"/>
      <c r="I51" s="13"/>
      <c r="J51" s="12" cm="1">
        <f t="array" ref="J51">I51*D51</f>
        <v>0</v>
      </c>
      <c r="K51" t="s" s="11">
        <v>52</v>
      </c>
    </row>
    <row r="52" ht="20.05" customHeight="1">
      <c r="A52" s="9">
        <v>30</v>
      </c>
      <c r="B52" t="s" s="10">
        <v>12</v>
      </c>
      <c r="C52" t="s" s="11">
        <v>61</v>
      </c>
      <c r="D52" s="12">
        <v>1</v>
      </c>
      <c r="E52" t="s" s="11">
        <v>14</v>
      </c>
      <c r="F52" t="s" s="11">
        <v>51</v>
      </c>
      <c r="G52" s="13"/>
      <c r="H52" s="13"/>
      <c r="I52" s="13"/>
      <c r="J52" s="12" cm="1">
        <f t="array" ref="J52">I52*D52</f>
        <v>0</v>
      </c>
      <c r="K52" t="s" s="11">
        <v>52</v>
      </c>
    </row>
    <row r="53" ht="20.05" customHeight="1">
      <c r="A53" s="9">
        <v>35</v>
      </c>
      <c r="B53" t="s" s="10">
        <v>12</v>
      </c>
      <c r="C53" t="s" s="11">
        <v>62</v>
      </c>
      <c r="D53" s="12">
        <v>1</v>
      </c>
      <c r="E53" t="s" s="11">
        <v>14</v>
      </c>
      <c r="F53" t="s" s="11">
        <v>51</v>
      </c>
      <c r="G53" s="13"/>
      <c r="H53" s="13"/>
      <c r="I53" s="13"/>
      <c r="J53" s="12" cm="1">
        <f t="array" ref="J53">I53*D53</f>
        <v>0</v>
      </c>
      <c r="K53" t="s" s="11">
        <v>54</v>
      </c>
    </row>
    <row r="54" ht="20.05" customHeight="1">
      <c r="A54" s="9">
        <v>34</v>
      </c>
      <c r="B54" t="s" s="10">
        <v>12</v>
      </c>
      <c r="C54" t="s" s="11">
        <v>63</v>
      </c>
      <c r="D54" s="12">
        <v>1</v>
      </c>
      <c r="E54" t="s" s="11">
        <v>14</v>
      </c>
      <c r="F54" t="s" s="11">
        <v>51</v>
      </c>
      <c r="G54" s="13"/>
      <c r="H54" s="13"/>
      <c r="I54" s="13"/>
      <c r="J54" s="12" cm="1">
        <f t="array" ref="J54">I54*D54</f>
        <v>0</v>
      </c>
      <c r="K54" t="s" s="11">
        <v>54</v>
      </c>
    </row>
    <row r="55" ht="20.05" customHeight="1">
      <c r="A55" s="9">
        <v>39</v>
      </c>
      <c r="B55" t="s" s="10">
        <v>12</v>
      </c>
      <c r="C55" t="s" s="11">
        <v>64</v>
      </c>
      <c r="D55" s="12">
        <v>1</v>
      </c>
      <c r="E55" t="s" s="11">
        <v>14</v>
      </c>
      <c r="F55" t="s" s="11">
        <v>51</v>
      </c>
      <c r="G55" s="13"/>
      <c r="H55" s="13"/>
      <c r="I55" s="13"/>
      <c r="J55" s="12" cm="1">
        <f t="array" ref="J55">I55*D55</f>
        <v>0</v>
      </c>
      <c r="K55" t="s" s="11">
        <v>52</v>
      </c>
    </row>
    <row r="56" ht="20.05" customHeight="1">
      <c r="A56" s="9">
        <v>54</v>
      </c>
      <c r="B56" t="s" s="10">
        <v>16</v>
      </c>
      <c r="C56" t="s" s="11">
        <v>65</v>
      </c>
      <c r="D56" s="12">
        <v>1</v>
      </c>
      <c r="E56" t="s" s="11">
        <v>18</v>
      </c>
      <c r="F56" t="s" s="11">
        <v>51</v>
      </c>
      <c r="G56" s="13"/>
      <c r="H56" s="13"/>
      <c r="I56" s="13"/>
      <c r="J56" s="12" cm="1">
        <f t="array" ref="J56">I56*D56</f>
        <v>0</v>
      </c>
      <c r="K56" t="s" s="11">
        <v>52</v>
      </c>
    </row>
    <row r="57" ht="20.05" customHeight="1">
      <c r="A57" s="9">
        <v>58</v>
      </c>
      <c r="B57" t="s" s="10">
        <v>16</v>
      </c>
      <c r="C57" t="s" s="11">
        <v>66</v>
      </c>
      <c r="D57" s="12">
        <v>1</v>
      </c>
      <c r="E57" t="s" s="11">
        <v>18</v>
      </c>
      <c r="F57" t="s" s="11">
        <v>51</v>
      </c>
      <c r="G57" s="13"/>
      <c r="H57" s="13"/>
      <c r="I57" s="13"/>
      <c r="J57" s="12" cm="1">
        <f t="array" ref="J57">I57*D57</f>
        <v>0</v>
      </c>
      <c r="K57" t="s" s="11">
        <v>54</v>
      </c>
    </row>
    <row r="58" ht="20.05" customHeight="1">
      <c r="A58" s="9">
        <v>57</v>
      </c>
      <c r="B58" t="s" s="10">
        <v>16</v>
      </c>
      <c r="C58" t="s" s="11">
        <v>67</v>
      </c>
      <c r="D58" s="12">
        <v>1</v>
      </c>
      <c r="E58" t="s" s="11">
        <v>18</v>
      </c>
      <c r="F58" t="s" s="11">
        <v>51</v>
      </c>
      <c r="G58" s="13"/>
      <c r="H58" s="13"/>
      <c r="I58" s="13"/>
      <c r="J58" s="12" cm="1">
        <f t="array" ref="J58">I58*D58</f>
        <v>0</v>
      </c>
      <c r="K58" t="s" s="11">
        <v>54</v>
      </c>
    </row>
    <row r="59" ht="20.05" customHeight="1">
      <c r="A59" s="9">
        <v>55</v>
      </c>
      <c r="B59" t="s" s="10">
        <v>16</v>
      </c>
      <c r="C59" t="s" s="11">
        <v>68</v>
      </c>
      <c r="D59" s="12">
        <v>1</v>
      </c>
      <c r="E59" t="s" s="11">
        <v>18</v>
      </c>
      <c r="F59" t="s" s="11">
        <v>51</v>
      </c>
      <c r="G59" s="13"/>
      <c r="H59" s="13"/>
      <c r="I59" s="13"/>
      <c r="J59" s="12" cm="1">
        <f t="array" ref="J59">I59*D59</f>
        <v>0</v>
      </c>
      <c r="K59" t="s" s="11">
        <v>54</v>
      </c>
    </row>
    <row r="60" ht="20.25" customHeight="1">
      <c r="A60" s="14">
        <v>56</v>
      </c>
      <c r="B60" t="s" s="15">
        <v>16</v>
      </c>
      <c r="C60" t="s" s="16">
        <v>69</v>
      </c>
      <c r="D60" s="17">
        <v>1</v>
      </c>
      <c r="E60" t="s" s="16">
        <v>18</v>
      </c>
      <c r="F60" t="s" s="16">
        <v>51</v>
      </c>
      <c r="G60" s="18"/>
      <c r="H60" s="18"/>
      <c r="I60" s="18"/>
      <c r="J60" s="17" cm="1">
        <f t="array" ref="J60">I60*D60</f>
        <v>0</v>
      </c>
      <c r="K60" t="s" s="16">
        <v>70</v>
      </c>
    </row>
    <row r="61" ht="20.25" customHeight="1">
      <c r="A61" s="19"/>
      <c r="B61" s="19"/>
      <c r="C61" t="s" s="20">
        <v>71</v>
      </c>
      <c r="D61" s="19"/>
      <c r="E61" s="19"/>
      <c r="F61" s="19"/>
      <c r="G61" s="19"/>
      <c r="H61" s="19"/>
      <c r="I61" s="19"/>
      <c r="J61" s="21" cm="1">
        <f t="array" ref="J61">SUM(J3:J60)</f>
        <v>0</v>
      </c>
      <c r="K61" s="19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4.85156" style="22" customWidth="1"/>
    <col min="2" max="2" width="6.35156" style="22" customWidth="1"/>
    <col min="3" max="3" width="33.4141" style="22" customWidth="1"/>
    <col min="4" max="4" width="16.3516" style="22" customWidth="1"/>
    <col min="5" max="16384" width="16.3516" style="22" customWidth="1"/>
  </cols>
  <sheetData>
    <row r="1" ht="20.25" customHeight="1">
      <c r="A1" t="s" s="3">
        <v>72</v>
      </c>
      <c r="B1" t="s" s="3">
        <v>2</v>
      </c>
      <c r="C1" t="s" s="3">
        <v>73</v>
      </c>
      <c r="D1" t="s" s="3">
        <v>74</v>
      </c>
    </row>
    <row r="2" ht="20.25" customHeight="1">
      <c r="A2" s="4">
        <v>1</v>
      </c>
      <c r="B2" t="s" s="5">
        <v>19</v>
      </c>
      <c r="C2" t="s" s="6">
        <v>75</v>
      </c>
      <c r="D2" t="s" s="6">
        <v>76</v>
      </c>
    </row>
    <row r="3" ht="20.05" customHeight="1">
      <c r="A3" s="9">
        <v>2</v>
      </c>
      <c r="B3" t="s" s="10">
        <v>77</v>
      </c>
      <c r="C3" t="s" s="11">
        <v>78</v>
      </c>
      <c r="D3" t="s" s="11">
        <v>76</v>
      </c>
    </row>
    <row r="4" ht="20.05" customHeight="1">
      <c r="A4" s="9">
        <v>3</v>
      </c>
      <c r="B4" t="s" s="10">
        <v>77</v>
      </c>
      <c r="C4" t="s" s="11">
        <v>79</v>
      </c>
      <c r="D4" t="s" s="11">
        <v>76</v>
      </c>
    </row>
    <row r="5" ht="20.05" customHeight="1">
      <c r="A5" s="9">
        <v>4</v>
      </c>
      <c r="B5" t="s" s="10">
        <v>77</v>
      </c>
      <c r="C5" t="s" s="11">
        <v>80</v>
      </c>
      <c r="D5" t="s" s="11">
        <v>76</v>
      </c>
    </row>
    <row r="6" ht="20.05" customHeight="1">
      <c r="A6" s="9">
        <v>5</v>
      </c>
      <c r="B6" t="s" s="10">
        <v>77</v>
      </c>
      <c r="C6" t="s" s="11">
        <v>81</v>
      </c>
      <c r="D6" t="s" s="11">
        <v>76</v>
      </c>
    </row>
    <row r="7" ht="20.05" customHeight="1">
      <c r="A7" s="9">
        <v>6</v>
      </c>
      <c r="B7" t="s" s="10">
        <v>77</v>
      </c>
      <c r="C7" t="s" s="11">
        <v>82</v>
      </c>
      <c r="D7" t="s" s="11">
        <v>76</v>
      </c>
    </row>
    <row r="8" ht="20.05" customHeight="1">
      <c r="A8" s="9">
        <v>7</v>
      </c>
      <c r="B8" t="s" s="10">
        <v>77</v>
      </c>
      <c r="C8" t="s" s="11">
        <v>83</v>
      </c>
      <c r="D8" t="s" s="11">
        <v>76</v>
      </c>
    </row>
    <row r="9" ht="20.05" customHeight="1">
      <c r="A9" s="9">
        <v>8</v>
      </c>
      <c r="B9" t="s" s="10">
        <v>77</v>
      </c>
      <c r="C9" t="s" s="11">
        <v>84</v>
      </c>
      <c r="D9" t="s" s="11">
        <v>76</v>
      </c>
    </row>
    <row r="10" ht="20.05" customHeight="1">
      <c r="A10" s="9">
        <v>9</v>
      </c>
      <c r="B10" t="s" s="10">
        <v>77</v>
      </c>
      <c r="C10" t="s" s="11">
        <v>84</v>
      </c>
      <c r="D10" t="s" s="11">
        <v>85</v>
      </c>
    </row>
    <row r="11" ht="20.05" customHeight="1">
      <c r="A11" s="9">
        <v>10</v>
      </c>
      <c r="B11" t="s" s="10">
        <v>77</v>
      </c>
      <c r="C11" t="s" s="11">
        <v>86</v>
      </c>
      <c r="D11" t="s" s="11">
        <v>85</v>
      </c>
    </row>
    <row r="12" ht="20.05" customHeight="1">
      <c r="A12" s="9">
        <v>11</v>
      </c>
      <c r="B12" t="s" s="10">
        <v>87</v>
      </c>
      <c r="C12" t="s" s="11">
        <v>88</v>
      </c>
      <c r="D12" t="s" s="11">
        <v>76</v>
      </c>
    </row>
    <row r="13" ht="20.05" customHeight="1">
      <c r="A13" s="9">
        <v>12</v>
      </c>
      <c r="B13" t="s" s="10">
        <v>87</v>
      </c>
      <c r="C13" t="s" s="11">
        <v>89</v>
      </c>
      <c r="D13" t="s" s="11">
        <v>76</v>
      </c>
    </row>
    <row r="14" ht="20.05" customHeight="1">
      <c r="A14" s="9">
        <v>13</v>
      </c>
      <c r="B14" t="s" s="10">
        <v>87</v>
      </c>
      <c r="C14" t="s" s="11">
        <v>90</v>
      </c>
      <c r="D14" t="s" s="11">
        <v>76</v>
      </c>
    </row>
    <row r="15" ht="20.05" customHeight="1">
      <c r="A15" s="9">
        <v>14</v>
      </c>
      <c r="B15" t="s" s="10">
        <v>87</v>
      </c>
      <c r="C15" t="s" s="11">
        <v>91</v>
      </c>
      <c r="D15" t="s" s="11">
        <v>76</v>
      </c>
    </row>
    <row r="16" ht="20.05" customHeight="1">
      <c r="A16" s="9">
        <v>15</v>
      </c>
      <c r="B16" t="s" s="10">
        <v>87</v>
      </c>
      <c r="C16" t="s" s="11">
        <v>92</v>
      </c>
      <c r="D16" t="s" s="11">
        <v>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2:F2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8.10156" style="23" customWidth="1"/>
    <col min="2" max="2" width="30.6719" style="23" customWidth="1"/>
    <col min="3" max="3" width="23.6719" style="23" customWidth="1"/>
    <col min="4" max="4" width="61.1719" style="23" customWidth="1"/>
    <col min="5" max="5" width="16.3516" style="23" customWidth="1"/>
    <col min="6" max="6" width="11.7812" style="23" customWidth="1"/>
    <col min="7" max="16384" width="16.3516" style="23" customWidth="1"/>
  </cols>
  <sheetData>
    <row r="1" ht="27.65" customHeight="1">
      <c r="A1" t="s" s="2">
        <v>93</v>
      </c>
      <c r="B1" s="2"/>
      <c r="C1" s="2"/>
      <c r="D1" s="2"/>
      <c r="E1" s="2"/>
      <c r="F1" s="2"/>
    </row>
    <row r="2" ht="20.25" customHeight="1">
      <c r="A2" t="s" s="24">
        <v>94</v>
      </c>
      <c r="B2" t="s" s="3">
        <v>95</v>
      </c>
      <c r="C2" t="s" s="3">
        <v>96</v>
      </c>
      <c r="D2" t="s" s="3">
        <v>97</v>
      </c>
      <c r="E2" t="s" s="3">
        <v>98</v>
      </c>
      <c r="F2" s="25"/>
    </row>
    <row r="3" ht="20.25" customHeight="1">
      <c r="A3" s="26">
        <v>1</v>
      </c>
      <c r="B3" t="s" s="5">
        <v>99</v>
      </c>
      <c r="C3" t="s" s="6">
        <v>100</v>
      </c>
      <c r="D3" s="8"/>
      <c r="E3" t="s" s="6">
        <v>101</v>
      </c>
      <c r="F3" t="b" s="7">
        <v>0</v>
      </c>
    </row>
    <row r="4" ht="20.05" customHeight="1">
      <c r="A4" s="27">
        <v>2</v>
      </c>
      <c r="B4" t="s" s="10">
        <v>102</v>
      </c>
      <c r="C4" s="13"/>
      <c r="D4" t="s" s="11">
        <v>103</v>
      </c>
      <c r="E4" s="13"/>
      <c r="F4" t="b" s="12">
        <v>0</v>
      </c>
    </row>
    <row r="5" ht="20.05" customHeight="1">
      <c r="A5" s="27">
        <v>3</v>
      </c>
      <c r="B5" t="s" s="10">
        <v>104</v>
      </c>
      <c r="C5" t="s" s="11">
        <v>105</v>
      </c>
      <c r="D5" t="s" s="11">
        <v>106</v>
      </c>
      <c r="E5" s="13"/>
      <c r="F5" t="b" s="12">
        <v>0</v>
      </c>
    </row>
    <row r="6" ht="20.05" customHeight="1">
      <c r="A6" s="27">
        <v>4</v>
      </c>
      <c r="B6" t="s" s="10">
        <v>107</v>
      </c>
      <c r="C6" t="s" s="11">
        <v>108</v>
      </c>
      <c r="D6" t="s" s="11">
        <v>109</v>
      </c>
      <c r="E6" s="13"/>
      <c r="F6" t="b" s="12">
        <v>0</v>
      </c>
    </row>
    <row r="7" ht="20.05" customHeight="1">
      <c r="A7" s="27">
        <v>5</v>
      </c>
      <c r="B7" t="s" s="10">
        <v>110</v>
      </c>
      <c r="C7" t="s" s="11">
        <v>111</v>
      </c>
      <c r="D7" t="s" s="11">
        <v>112</v>
      </c>
      <c r="E7" s="13"/>
      <c r="F7" t="b" s="12">
        <v>0</v>
      </c>
    </row>
    <row r="8" ht="20.05" customHeight="1">
      <c r="A8" s="27">
        <v>6</v>
      </c>
      <c r="B8" t="s" s="10">
        <v>113</v>
      </c>
      <c r="C8" t="s" s="11">
        <v>114</v>
      </c>
      <c r="D8" t="s" s="11">
        <v>115</v>
      </c>
      <c r="E8" s="13"/>
      <c r="F8" t="b" s="12">
        <v>0</v>
      </c>
    </row>
    <row r="9" ht="20.05" customHeight="1">
      <c r="A9" s="27">
        <v>7</v>
      </c>
      <c r="B9" t="s" s="10">
        <v>116</v>
      </c>
      <c r="C9" t="s" s="11">
        <v>117</v>
      </c>
      <c r="D9" t="s" s="11">
        <v>118</v>
      </c>
      <c r="E9" s="13"/>
      <c r="F9" t="b" s="12">
        <v>0</v>
      </c>
    </row>
    <row r="10" ht="20.05" customHeight="1">
      <c r="A10" s="27">
        <v>8</v>
      </c>
      <c r="B10" t="s" s="10">
        <v>119</v>
      </c>
      <c r="C10" t="s" s="11">
        <v>120</v>
      </c>
      <c r="D10" t="s" s="11">
        <v>121</v>
      </c>
      <c r="E10" s="13"/>
      <c r="F10" t="b" s="12">
        <v>0</v>
      </c>
    </row>
    <row r="11" ht="20.05" customHeight="1">
      <c r="A11" s="27">
        <v>9</v>
      </c>
      <c r="B11" t="s" s="10">
        <v>122</v>
      </c>
      <c r="C11" t="s" s="11">
        <v>123</v>
      </c>
      <c r="D11" t="s" s="11">
        <v>124</v>
      </c>
      <c r="E11" s="13"/>
      <c r="F11" t="b" s="12">
        <v>0</v>
      </c>
    </row>
    <row r="12" ht="20.05" customHeight="1">
      <c r="A12" s="27">
        <v>10</v>
      </c>
      <c r="B12" t="s" s="10">
        <v>122</v>
      </c>
      <c r="C12" t="s" s="11">
        <v>125</v>
      </c>
      <c r="D12" t="s" s="11">
        <v>126</v>
      </c>
      <c r="E12" s="13"/>
      <c r="F12" t="b" s="12">
        <v>0</v>
      </c>
    </row>
    <row r="13" ht="20.05" customHeight="1">
      <c r="A13" s="27">
        <v>11</v>
      </c>
      <c r="B13" t="s" s="10">
        <v>127</v>
      </c>
      <c r="C13" s="13"/>
      <c r="D13" t="s" s="11">
        <v>128</v>
      </c>
      <c r="E13" t="s" s="28">
        <v>129</v>
      </c>
      <c r="F13" t="b" s="29">
        <v>0</v>
      </c>
    </row>
    <row r="14" ht="20.05" customHeight="1">
      <c r="A14" s="27">
        <v>12</v>
      </c>
      <c r="B14" t="s" s="10">
        <v>130</v>
      </c>
      <c r="C14" s="13"/>
      <c r="D14" t="s" s="30">
        <v>131</v>
      </c>
      <c r="E14" t="s" s="31">
        <v>132</v>
      </c>
      <c r="F14" t="b" s="32">
        <v>0</v>
      </c>
    </row>
    <row r="15" ht="20.85" customHeight="1">
      <c r="A15" s="27">
        <v>13</v>
      </c>
      <c r="B15" t="s" s="10">
        <v>133</v>
      </c>
      <c r="C15" s="13"/>
      <c r="D15" t="s" s="11">
        <v>134</v>
      </c>
      <c r="E15" t="s" s="33">
        <v>135</v>
      </c>
      <c r="F15" t="b" s="12">
        <v>0</v>
      </c>
    </row>
    <row r="16" ht="21.7" customHeight="1">
      <c r="A16" s="27">
        <v>14</v>
      </c>
      <c r="B16" t="s" s="10">
        <v>136</v>
      </c>
      <c r="C16" s="13"/>
      <c r="D16" t="s" s="34">
        <v>137</v>
      </c>
      <c r="E16" t="s" s="35">
        <v>138</v>
      </c>
      <c r="F16" t="b" s="36">
        <v>0</v>
      </c>
    </row>
    <row r="17" ht="20.85" customHeight="1">
      <c r="A17" s="27">
        <v>15</v>
      </c>
      <c r="B17" t="s" s="10">
        <v>139</v>
      </c>
      <c r="C17" s="13"/>
      <c r="D17" t="s" s="11">
        <v>140</v>
      </c>
      <c r="E17" t="s" s="37">
        <v>141</v>
      </c>
      <c r="F17" t="b" s="38">
        <v>0</v>
      </c>
    </row>
    <row r="18" ht="20.05" customHeight="1">
      <c r="A18" s="27">
        <v>16</v>
      </c>
      <c r="B18" t="s" s="10">
        <v>142</v>
      </c>
      <c r="C18" s="13"/>
      <c r="D18" t="s" s="11">
        <v>143</v>
      </c>
      <c r="E18" t="s" s="39">
        <v>144</v>
      </c>
      <c r="F18" t="b" s="40">
        <v>0</v>
      </c>
    </row>
    <row r="19" ht="20.05" customHeight="1">
      <c r="A19" s="27">
        <v>17</v>
      </c>
      <c r="B19" t="s" s="10">
        <v>145</v>
      </c>
      <c r="C19" s="13"/>
      <c r="D19" t="s" s="11">
        <v>146</v>
      </c>
      <c r="E19" t="s" s="41">
        <v>147</v>
      </c>
      <c r="F19" t="b" s="40">
        <v>0</v>
      </c>
    </row>
    <row r="20" ht="20.05" customHeight="1">
      <c r="A20" s="27">
        <v>18</v>
      </c>
      <c r="B20" t="s" s="10">
        <v>148</v>
      </c>
      <c r="C20" s="13"/>
      <c r="D20" t="s" s="11">
        <v>149</v>
      </c>
      <c r="E20" t="s" s="42">
        <v>150</v>
      </c>
      <c r="F20" t="b" s="43">
        <v>0</v>
      </c>
    </row>
    <row r="21" ht="20.05" customHeight="1">
      <c r="A21" s="27">
        <v>19</v>
      </c>
      <c r="B21" t="s" s="10">
        <v>151</v>
      </c>
      <c r="C21" s="13"/>
      <c r="D21" t="s" s="30">
        <v>152</v>
      </c>
      <c r="E21" t="s" s="44">
        <v>153</v>
      </c>
      <c r="F21" t="b" s="32">
        <v>0</v>
      </c>
    </row>
    <row r="22" ht="20.05" customHeight="1">
      <c r="A22" s="27">
        <v>20</v>
      </c>
      <c r="B22" t="s" s="10">
        <v>154</v>
      </c>
      <c r="C22" s="13"/>
      <c r="D22" s="13"/>
      <c r="E22" s="13"/>
      <c r="F22" t="b" s="12">
        <v>0</v>
      </c>
    </row>
    <row r="23" ht="20.05" customHeight="1">
      <c r="A23" s="27">
        <v>21</v>
      </c>
      <c r="B23" t="s" s="10">
        <v>155</v>
      </c>
      <c r="C23" s="13"/>
      <c r="D23" t="s" s="11">
        <v>156</v>
      </c>
      <c r="E23" s="13"/>
      <c r="F23" t="b" s="12">
        <v>0</v>
      </c>
    </row>
    <row r="24" ht="20.05" customHeight="1">
      <c r="A24" s="27">
        <v>22</v>
      </c>
      <c r="B24" t="s" s="10">
        <v>157</v>
      </c>
      <c r="C24" s="13"/>
      <c r="D24" t="s" s="11">
        <v>158</v>
      </c>
      <c r="E24" s="13"/>
      <c r="F24" t="b" s="12">
        <v>0</v>
      </c>
    </row>
    <row r="25" ht="20.05" customHeight="1">
      <c r="A25" s="45"/>
      <c r="B25" s="46"/>
      <c r="C25" s="13"/>
      <c r="D25" s="13"/>
      <c r="E25" s="13"/>
      <c r="F25" s="13"/>
    </row>
  </sheetData>
  <mergeCells count="1">
    <mergeCell ref="A1:F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2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8.10156" style="47" customWidth="1"/>
    <col min="2" max="2" width="43.5" style="47" customWidth="1"/>
    <col min="3" max="3" width="34.2656" style="47" customWidth="1"/>
    <col min="4" max="4" width="34.5" style="47" customWidth="1"/>
    <col min="5" max="5" width="16.3516" style="47" customWidth="1"/>
    <col min="6" max="16384" width="16.3516" style="47" customWidth="1"/>
  </cols>
  <sheetData>
    <row r="1" ht="27.65" customHeight="1">
      <c r="A1" t="s" s="2">
        <v>159</v>
      </c>
      <c r="B1" s="2"/>
      <c r="C1" s="2"/>
      <c r="D1" s="2"/>
      <c r="E1" s="2"/>
    </row>
    <row r="2" ht="20.25" customHeight="1">
      <c r="A2" t="s" s="24">
        <v>94</v>
      </c>
      <c r="B2" t="s" s="3">
        <v>95</v>
      </c>
      <c r="C2" t="s" s="3">
        <v>96</v>
      </c>
      <c r="D2" t="s" s="3">
        <v>97</v>
      </c>
      <c r="E2" t="s" s="3">
        <v>98</v>
      </c>
    </row>
    <row r="3" ht="20.25" customHeight="1">
      <c r="A3" s="26">
        <v>1</v>
      </c>
      <c r="B3" t="s" s="5">
        <v>99</v>
      </c>
      <c r="C3" t="s" s="6">
        <v>160</v>
      </c>
      <c r="D3" s="8"/>
      <c r="E3" t="s" s="6">
        <v>161</v>
      </c>
    </row>
    <row r="4" ht="20.05" customHeight="1">
      <c r="A4" s="27">
        <v>2</v>
      </c>
      <c r="B4" t="s" s="10">
        <v>162</v>
      </c>
      <c r="C4" t="s" s="11">
        <v>163</v>
      </c>
      <c r="D4" t="s" s="11">
        <v>164</v>
      </c>
      <c r="E4" s="13"/>
    </row>
    <row r="5" ht="20.05" customHeight="1">
      <c r="A5" s="27">
        <v>3</v>
      </c>
      <c r="B5" t="s" s="10">
        <v>165</v>
      </c>
      <c r="C5" t="s" s="11">
        <v>166</v>
      </c>
      <c r="D5" t="s" s="11">
        <v>167</v>
      </c>
      <c r="E5" s="13"/>
    </row>
    <row r="6" ht="20.05" customHeight="1">
      <c r="A6" s="27">
        <v>4</v>
      </c>
      <c r="B6" t="s" s="10">
        <v>168</v>
      </c>
      <c r="C6" t="s" s="11">
        <v>169</v>
      </c>
      <c r="D6" t="s" s="11">
        <v>170</v>
      </c>
      <c r="E6" s="13"/>
    </row>
    <row r="7" ht="20.05" customHeight="1">
      <c r="A7" s="27">
        <v>5</v>
      </c>
      <c r="B7" t="s" s="10">
        <v>171</v>
      </c>
      <c r="C7" t="s" s="11">
        <v>172</v>
      </c>
      <c r="D7" s="13"/>
      <c r="E7" s="13"/>
    </row>
    <row r="8" ht="20.05" customHeight="1">
      <c r="A8" s="27">
        <v>6</v>
      </c>
      <c r="B8" t="s" s="10">
        <v>127</v>
      </c>
      <c r="C8" s="13"/>
      <c r="D8" t="s" s="11">
        <v>173</v>
      </c>
      <c r="E8" t="s" s="28">
        <v>129</v>
      </c>
    </row>
    <row r="9" ht="20.05" customHeight="1">
      <c r="A9" s="27">
        <v>7</v>
      </c>
      <c r="B9" t="s" s="10">
        <v>130</v>
      </c>
      <c r="C9" s="13"/>
      <c r="D9" t="s" s="30">
        <v>174</v>
      </c>
      <c r="E9" t="s" s="31">
        <v>132</v>
      </c>
    </row>
    <row r="10" ht="20.85" customHeight="1">
      <c r="A10" s="27">
        <v>8</v>
      </c>
      <c r="B10" t="s" s="10">
        <v>133</v>
      </c>
      <c r="C10" s="13"/>
      <c r="D10" t="s" s="11">
        <v>175</v>
      </c>
      <c r="E10" t="s" s="33">
        <v>135</v>
      </c>
    </row>
    <row r="11" ht="21.7" customHeight="1">
      <c r="A11" s="27">
        <v>9</v>
      </c>
      <c r="B11" t="s" s="10">
        <v>136</v>
      </c>
      <c r="C11" s="13"/>
      <c r="D11" t="s" s="34">
        <v>176</v>
      </c>
      <c r="E11" t="s" s="35">
        <v>138</v>
      </c>
    </row>
    <row r="12" ht="20.85" customHeight="1">
      <c r="A12" s="27">
        <v>10</v>
      </c>
      <c r="B12" t="s" s="10">
        <v>139</v>
      </c>
      <c r="C12" s="13"/>
      <c r="D12" t="s" s="11">
        <v>177</v>
      </c>
      <c r="E12" t="s" s="37">
        <v>141</v>
      </c>
    </row>
    <row r="13" ht="20.05" customHeight="1">
      <c r="A13" s="27">
        <v>11</v>
      </c>
      <c r="B13" t="s" s="10">
        <v>142</v>
      </c>
      <c r="C13" s="13"/>
      <c r="D13" t="s" s="11">
        <v>178</v>
      </c>
      <c r="E13" t="s" s="39">
        <v>144</v>
      </c>
    </row>
    <row r="14" ht="20.05" customHeight="1">
      <c r="A14" s="27">
        <v>12</v>
      </c>
      <c r="B14" t="s" s="10">
        <v>145</v>
      </c>
      <c r="C14" s="13"/>
      <c r="D14" t="s" s="11">
        <v>179</v>
      </c>
      <c r="E14" t="s" s="41">
        <v>147</v>
      </c>
    </row>
    <row r="15" ht="20.05" customHeight="1">
      <c r="A15" s="27">
        <v>13</v>
      </c>
      <c r="B15" t="s" s="10">
        <v>148</v>
      </c>
      <c r="C15" s="13"/>
      <c r="D15" t="s" s="11">
        <v>180</v>
      </c>
      <c r="E15" t="s" s="42">
        <v>150</v>
      </c>
    </row>
    <row r="16" ht="20.05" customHeight="1">
      <c r="A16" s="27">
        <v>14</v>
      </c>
      <c r="B16" t="s" s="10">
        <v>151</v>
      </c>
      <c r="C16" s="13"/>
      <c r="D16" t="s" s="30">
        <v>181</v>
      </c>
      <c r="E16" t="s" s="44">
        <v>153</v>
      </c>
    </row>
    <row r="17" ht="20.05" customHeight="1">
      <c r="A17" s="27">
        <v>15</v>
      </c>
      <c r="B17" t="s" s="10">
        <v>182</v>
      </c>
      <c r="C17" t="s" s="11">
        <v>183</v>
      </c>
      <c r="D17" t="s" s="11">
        <v>184</v>
      </c>
      <c r="E17" s="13"/>
    </row>
    <row r="18" ht="20.05" customHeight="1">
      <c r="A18" s="27">
        <v>16</v>
      </c>
      <c r="B18" t="s" s="10">
        <v>154</v>
      </c>
      <c r="C18" s="13"/>
      <c r="D18" s="13"/>
      <c r="E18" s="13"/>
    </row>
    <row r="19" ht="20.05" customHeight="1">
      <c r="A19" s="45"/>
      <c r="B19" s="46"/>
      <c r="C19" s="13"/>
      <c r="D19" s="13"/>
      <c r="E19" s="13"/>
    </row>
    <row r="20" ht="20.05" customHeight="1">
      <c r="A20" s="45"/>
      <c r="B20" s="46"/>
      <c r="C20" s="13"/>
      <c r="D20" s="13"/>
      <c r="E20" s="1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8.10156" style="48" customWidth="1"/>
    <col min="2" max="2" width="54.8516" style="48" customWidth="1"/>
    <col min="3" max="3" width="23.6719" style="48" customWidth="1"/>
    <col min="4" max="4" width="26.3516" style="48" customWidth="1"/>
    <col min="5" max="5" width="16.3516" style="48" customWidth="1"/>
    <col min="6" max="16384" width="16.3516" style="48" customWidth="1"/>
  </cols>
  <sheetData>
    <row r="1" ht="27.65" customHeight="1">
      <c r="A1" t="s" s="2">
        <v>185</v>
      </c>
      <c r="B1" s="2"/>
      <c r="C1" s="2"/>
      <c r="D1" s="2"/>
      <c r="E1" s="2"/>
    </row>
    <row r="2" ht="20.25" customHeight="1">
      <c r="A2" t="s" s="24">
        <v>94</v>
      </c>
      <c r="B2" t="s" s="3">
        <v>95</v>
      </c>
      <c r="C2" t="s" s="3">
        <v>96</v>
      </c>
      <c r="D2" t="s" s="3">
        <v>97</v>
      </c>
      <c r="E2" t="s" s="3">
        <v>98</v>
      </c>
    </row>
    <row r="3" ht="20.25" customHeight="1">
      <c r="A3" s="26">
        <v>1</v>
      </c>
      <c r="B3" t="s" s="5">
        <v>99</v>
      </c>
      <c r="C3" t="s" s="6">
        <v>186</v>
      </c>
      <c r="D3" s="8"/>
      <c r="E3" t="s" s="6">
        <v>187</v>
      </c>
    </row>
    <row r="4" ht="20.05" customHeight="1">
      <c r="A4" s="27">
        <v>2</v>
      </c>
      <c r="B4" t="s" s="10">
        <v>102</v>
      </c>
      <c r="C4" s="13"/>
      <c r="D4" t="s" s="11">
        <v>188</v>
      </c>
      <c r="E4" s="13"/>
    </row>
    <row r="5" ht="20.05" customHeight="1">
      <c r="A5" s="27">
        <v>3</v>
      </c>
      <c r="B5" t="s" s="10">
        <v>189</v>
      </c>
      <c r="C5" t="s" s="11">
        <v>190</v>
      </c>
      <c r="D5" t="s" s="11">
        <v>191</v>
      </c>
      <c r="E5" s="13"/>
    </row>
    <row r="6" ht="20.05" customHeight="1">
      <c r="A6" s="27">
        <v>4</v>
      </c>
      <c r="B6" t="s" s="10">
        <v>192</v>
      </c>
      <c r="C6" t="s" s="11">
        <v>193</v>
      </c>
      <c r="D6" t="s" s="11">
        <v>194</v>
      </c>
      <c r="E6" s="13"/>
    </row>
    <row r="7" ht="20.05" customHeight="1">
      <c r="A7" s="27">
        <v>5</v>
      </c>
      <c r="B7" t="s" s="10">
        <v>195</v>
      </c>
      <c r="C7" s="13"/>
      <c r="D7" t="s" s="11">
        <v>196</v>
      </c>
      <c r="E7" t="s" s="49">
        <v>144</v>
      </c>
    </row>
    <row r="8" ht="20.05" customHeight="1">
      <c r="A8" s="27">
        <v>7</v>
      </c>
      <c r="B8" t="s" s="10">
        <v>197</v>
      </c>
      <c r="C8" s="13"/>
      <c r="D8" t="s" s="11">
        <v>198</v>
      </c>
      <c r="E8" t="s" s="50">
        <v>141</v>
      </c>
    </row>
    <row r="9" ht="20.05" customHeight="1">
      <c r="A9" s="27">
        <v>7</v>
      </c>
      <c r="B9" t="s" s="10">
        <v>154</v>
      </c>
      <c r="C9" s="13"/>
      <c r="D9" s="13"/>
      <c r="E9" s="1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8.10156" style="51" customWidth="1"/>
    <col min="2" max="2" width="56.1172" style="51" customWidth="1"/>
    <col min="3" max="3" width="23.6719" style="51" customWidth="1"/>
    <col min="4" max="4" width="47.2422" style="51" customWidth="1"/>
    <col min="5" max="5" width="16.3516" style="51" customWidth="1"/>
    <col min="6" max="16384" width="16.3516" style="51" customWidth="1"/>
  </cols>
  <sheetData>
    <row r="1" ht="27.65" customHeight="1">
      <c r="A1" t="s" s="2">
        <v>199</v>
      </c>
      <c r="B1" s="2"/>
      <c r="C1" s="2"/>
      <c r="D1" s="2"/>
      <c r="E1" s="2"/>
    </row>
    <row r="2" ht="20.25" customHeight="1">
      <c r="A2" t="s" s="24">
        <v>94</v>
      </c>
      <c r="B2" t="s" s="3">
        <v>95</v>
      </c>
      <c r="C2" t="s" s="3">
        <v>96</v>
      </c>
      <c r="D2" t="s" s="3">
        <v>97</v>
      </c>
      <c r="E2" t="s" s="3">
        <v>98</v>
      </c>
    </row>
    <row r="3" ht="20.25" customHeight="1">
      <c r="A3" s="26">
        <v>1</v>
      </c>
      <c r="B3" t="s" s="5">
        <v>99</v>
      </c>
      <c r="C3" t="s" s="6">
        <v>160</v>
      </c>
      <c r="D3" s="8"/>
      <c r="E3" t="s" s="6">
        <v>161</v>
      </c>
    </row>
    <row r="4" ht="20.05" customHeight="1">
      <c r="A4" s="27">
        <v>2</v>
      </c>
      <c r="B4" t="s" s="10">
        <v>102</v>
      </c>
      <c r="C4" s="13"/>
      <c r="D4" t="s" s="11">
        <v>200</v>
      </c>
      <c r="E4" s="13"/>
    </row>
    <row r="5" ht="20.05" customHeight="1">
      <c r="A5" s="27">
        <v>3</v>
      </c>
      <c r="B5" t="s" s="10">
        <v>201</v>
      </c>
      <c r="C5" t="s" s="11">
        <v>202</v>
      </c>
      <c r="D5" t="s" s="11">
        <v>203</v>
      </c>
      <c r="E5" s="13"/>
    </row>
    <row r="6" ht="20.05" customHeight="1">
      <c r="A6" s="27">
        <v>4</v>
      </c>
      <c r="B6" t="s" s="10">
        <v>204</v>
      </c>
      <c r="C6" t="s" s="11">
        <v>205</v>
      </c>
      <c r="D6" s="13"/>
      <c r="E6" s="13"/>
    </row>
    <row r="7" ht="20.05" customHeight="1">
      <c r="A7" s="27">
        <v>5</v>
      </c>
      <c r="B7" t="s" s="10">
        <v>206</v>
      </c>
      <c r="C7" s="13"/>
      <c r="D7" t="s" s="11">
        <v>207</v>
      </c>
      <c r="E7" s="13"/>
    </row>
    <row r="8" ht="20.05" customHeight="1">
      <c r="A8" s="27">
        <v>6</v>
      </c>
      <c r="B8" t="s" s="10">
        <v>208</v>
      </c>
      <c r="C8" s="13"/>
      <c r="D8" s="13"/>
      <c r="E8" s="13"/>
    </row>
    <row r="9" ht="20.05" customHeight="1">
      <c r="A9" s="27">
        <v>7</v>
      </c>
      <c r="B9" t="s" s="10">
        <v>209</v>
      </c>
      <c r="C9" t="s" s="11">
        <v>210</v>
      </c>
      <c r="D9" t="s" s="11">
        <v>211</v>
      </c>
      <c r="E9" s="13"/>
    </row>
    <row r="10" ht="20.05" customHeight="1">
      <c r="A10" s="27">
        <v>8</v>
      </c>
      <c r="B10" t="s" s="10">
        <v>212</v>
      </c>
      <c r="C10" t="s" s="11">
        <v>213</v>
      </c>
      <c r="D10" t="s" s="11">
        <v>214</v>
      </c>
      <c r="E10" s="52"/>
    </row>
    <row r="11" ht="20.05" customHeight="1">
      <c r="A11" s="27">
        <v>9</v>
      </c>
      <c r="B11" t="s" s="10">
        <v>215</v>
      </c>
      <c r="C11" s="13"/>
      <c r="D11" t="s" s="11">
        <v>216</v>
      </c>
      <c r="E11" t="s" s="50">
        <v>141</v>
      </c>
    </row>
    <row r="12" ht="20.05" customHeight="1">
      <c r="A12" s="27">
        <v>10</v>
      </c>
      <c r="B12" t="s" s="10">
        <v>142</v>
      </c>
      <c r="C12" s="13"/>
      <c r="D12" t="s" s="11">
        <v>217</v>
      </c>
      <c r="E12" t="s" s="39">
        <v>144</v>
      </c>
    </row>
    <row r="13" ht="20.05" customHeight="1">
      <c r="A13" s="27">
        <v>11</v>
      </c>
      <c r="B13" t="s" s="10">
        <v>145</v>
      </c>
      <c r="C13" s="13"/>
      <c r="D13" t="s" s="11">
        <v>218</v>
      </c>
      <c r="E13" t="s" s="41">
        <v>147</v>
      </c>
    </row>
    <row r="14" ht="20.05" customHeight="1">
      <c r="A14" s="27">
        <v>12</v>
      </c>
      <c r="B14" t="s" s="10">
        <v>148</v>
      </c>
      <c r="C14" s="13"/>
      <c r="D14" t="s" s="11">
        <v>219</v>
      </c>
      <c r="E14" t="s" s="42">
        <v>150</v>
      </c>
    </row>
    <row r="15" ht="20.05" customHeight="1">
      <c r="A15" s="27">
        <v>13</v>
      </c>
      <c r="B15" t="s" s="10">
        <v>151</v>
      </c>
      <c r="C15" s="13"/>
      <c r="D15" t="s" s="30">
        <v>220</v>
      </c>
      <c r="E15" t="s" s="44">
        <v>153</v>
      </c>
    </row>
    <row r="16" ht="20.05" customHeight="1">
      <c r="A16" s="27">
        <v>14</v>
      </c>
      <c r="B16" t="s" s="10">
        <v>154</v>
      </c>
      <c r="C16" s="13"/>
      <c r="D16" s="13"/>
      <c r="E16" s="13"/>
    </row>
    <row r="17" ht="20.05" customHeight="1">
      <c r="A17" s="45"/>
      <c r="B17" s="46"/>
      <c r="C17" s="13"/>
      <c r="D17" s="13"/>
      <c r="E17" s="13"/>
    </row>
    <row r="18" ht="20.05" customHeight="1">
      <c r="A18" s="45"/>
      <c r="B18" s="46"/>
      <c r="C18" s="13"/>
      <c r="D18" s="13"/>
      <c r="E18" s="1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6.3516" style="53" customWidth="1"/>
    <col min="2" max="2" width="35.1484" style="53" customWidth="1"/>
    <col min="3" max="5" width="16.3516" style="53" customWidth="1"/>
    <col min="6" max="16384" width="16.3516" style="53" customWidth="1"/>
  </cols>
  <sheetData>
    <row r="1" ht="20.25" customHeight="1">
      <c r="A1" s="25"/>
      <c r="B1" s="25"/>
      <c r="C1" s="25"/>
      <c r="D1" s="25"/>
      <c r="E1" s="25"/>
    </row>
    <row r="2" ht="20.25" customHeight="1">
      <c r="A2" s="54"/>
      <c r="B2" t="s" s="5">
        <v>221</v>
      </c>
      <c r="C2" s="8"/>
      <c r="D2" s="8"/>
      <c r="E2" s="8"/>
    </row>
    <row r="3" ht="32.05" customHeight="1">
      <c r="A3" s="55"/>
      <c r="B3" t="s" s="10">
        <v>222</v>
      </c>
      <c r="C3" s="13"/>
      <c r="D3" s="13"/>
      <c r="E3" s="13"/>
    </row>
    <row r="4" ht="32.05" customHeight="1">
      <c r="A4" s="55"/>
      <c r="B4" t="s" s="10">
        <v>223</v>
      </c>
      <c r="C4" s="13"/>
      <c r="D4" s="13"/>
      <c r="E4" s="13"/>
    </row>
    <row r="5" ht="20.05" customHeight="1">
      <c r="A5" s="55"/>
      <c r="B5" s="46"/>
      <c r="C5" s="13"/>
      <c r="D5" s="13"/>
      <c r="E5" s="13"/>
    </row>
    <row r="6" ht="20.05" customHeight="1">
      <c r="A6" s="55"/>
      <c r="B6" s="46"/>
      <c r="C6" s="13"/>
      <c r="D6" s="13"/>
      <c r="E6" s="13"/>
    </row>
    <row r="7" ht="20.05" customHeight="1">
      <c r="A7" s="55"/>
      <c r="B7" s="46"/>
      <c r="C7" s="13"/>
      <c r="D7" s="13"/>
      <c r="E7" s="13"/>
    </row>
    <row r="8" ht="20.05" customHeight="1">
      <c r="A8" s="55"/>
      <c r="B8" s="46"/>
      <c r="C8" s="13"/>
      <c r="D8" s="13"/>
      <c r="E8" s="13"/>
    </row>
    <row r="9" ht="20.05" customHeight="1">
      <c r="A9" s="55"/>
      <c r="B9" s="46"/>
      <c r="C9" s="13"/>
      <c r="D9" s="13"/>
      <c r="E9" s="13"/>
    </row>
    <row r="10" ht="20.05" customHeight="1">
      <c r="A10" s="55"/>
      <c r="B10" s="46"/>
      <c r="C10" s="13"/>
      <c r="D10" s="13"/>
      <c r="E10" s="1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2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8.10156" style="56" customWidth="1"/>
    <col min="2" max="2" width="57.1719" style="56" customWidth="1"/>
    <col min="3" max="3" width="33.8125" style="56" customWidth="1"/>
    <col min="4" max="4" width="35.0781" style="56" customWidth="1"/>
    <col min="5" max="5" width="16.3516" style="56" customWidth="1"/>
    <col min="6" max="16384" width="16.3516" style="56" customWidth="1"/>
  </cols>
  <sheetData>
    <row r="1" ht="27.65" customHeight="1">
      <c r="A1" t="s" s="2">
        <v>224</v>
      </c>
      <c r="B1" s="2"/>
      <c r="C1" s="2"/>
      <c r="D1" s="2"/>
      <c r="E1" s="2"/>
    </row>
    <row r="2" ht="20.25" customHeight="1">
      <c r="A2" t="s" s="24">
        <v>94</v>
      </c>
      <c r="B2" t="s" s="3">
        <v>95</v>
      </c>
      <c r="C2" t="s" s="3">
        <v>96</v>
      </c>
      <c r="D2" t="s" s="3">
        <v>97</v>
      </c>
      <c r="E2" t="s" s="3">
        <v>98</v>
      </c>
    </row>
    <row r="3" ht="20.25" customHeight="1">
      <c r="A3" s="26">
        <v>1</v>
      </c>
      <c r="B3" t="s" s="5">
        <v>99</v>
      </c>
      <c r="C3" t="s" s="6">
        <v>160</v>
      </c>
      <c r="D3" s="8"/>
      <c r="E3" t="s" s="6">
        <v>161</v>
      </c>
    </row>
    <row r="4" ht="20.05" customHeight="1">
      <c r="A4" s="27">
        <v>2</v>
      </c>
      <c r="B4" t="s" s="10">
        <v>102</v>
      </c>
      <c r="C4" s="13"/>
      <c r="D4" t="s" s="11">
        <v>225</v>
      </c>
      <c r="E4" s="13"/>
    </row>
    <row r="5" ht="20.05" customHeight="1">
      <c r="A5" s="27">
        <v>3</v>
      </c>
      <c r="B5" t="s" s="10">
        <v>226</v>
      </c>
      <c r="C5" s="13"/>
      <c r="D5" s="13"/>
      <c r="E5" s="13"/>
    </row>
    <row r="6" ht="20.05" customHeight="1">
      <c r="A6" s="27">
        <v>4</v>
      </c>
      <c r="B6" t="s" s="10">
        <v>227</v>
      </c>
      <c r="C6" s="13"/>
      <c r="D6" t="s" s="11">
        <v>228</v>
      </c>
      <c r="E6" s="13"/>
    </row>
    <row r="7" ht="20.05" customHeight="1">
      <c r="A7" s="27">
        <v>5</v>
      </c>
      <c r="B7" t="s" s="10">
        <v>162</v>
      </c>
      <c r="C7" t="s" s="11">
        <v>163</v>
      </c>
      <c r="D7" t="s" s="11">
        <v>229</v>
      </c>
      <c r="E7" s="13"/>
    </row>
    <row r="8" ht="20.05" customHeight="1">
      <c r="A8" s="27">
        <v>6</v>
      </c>
      <c r="B8" t="s" s="10">
        <v>127</v>
      </c>
      <c r="C8" t="s" s="11">
        <v>230</v>
      </c>
      <c r="D8" t="s" s="11">
        <v>231</v>
      </c>
      <c r="E8" t="s" s="28">
        <v>129</v>
      </c>
    </row>
    <row r="9" ht="20.05" customHeight="1">
      <c r="A9" s="27">
        <v>7</v>
      </c>
      <c r="B9" t="s" s="10">
        <v>130</v>
      </c>
      <c r="C9" t="s" s="11">
        <v>230</v>
      </c>
      <c r="D9" t="s" s="30">
        <v>232</v>
      </c>
      <c r="E9" t="s" s="31">
        <v>132</v>
      </c>
    </row>
    <row r="10" ht="20.85" customHeight="1">
      <c r="A10" s="27">
        <v>8</v>
      </c>
      <c r="B10" t="s" s="10">
        <v>133</v>
      </c>
      <c r="C10" t="s" s="11">
        <v>230</v>
      </c>
      <c r="D10" t="s" s="11">
        <v>233</v>
      </c>
      <c r="E10" t="s" s="33">
        <v>135</v>
      </c>
    </row>
    <row r="11" ht="21.7" customHeight="1">
      <c r="A11" s="27">
        <v>9</v>
      </c>
      <c r="B11" t="s" s="10">
        <v>136</v>
      </c>
      <c r="C11" t="s" s="11">
        <v>230</v>
      </c>
      <c r="D11" t="s" s="34">
        <v>234</v>
      </c>
      <c r="E11" t="s" s="35">
        <v>138</v>
      </c>
    </row>
    <row r="12" ht="20.85" customHeight="1">
      <c r="A12" s="27">
        <v>10</v>
      </c>
      <c r="B12" t="s" s="10">
        <v>139</v>
      </c>
      <c r="C12" t="s" s="11">
        <v>230</v>
      </c>
      <c r="D12" t="s" s="11">
        <v>235</v>
      </c>
      <c r="E12" t="s" s="37">
        <v>141</v>
      </c>
    </row>
    <row r="13" ht="20.05" customHeight="1">
      <c r="A13" s="27">
        <v>11</v>
      </c>
      <c r="B13" t="s" s="10">
        <v>142</v>
      </c>
      <c r="C13" t="s" s="11">
        <v>230</v>
      </c>
      <c r="D13" t="s" s="11">
        <v>236</v>
      </c>
      <c r="E13" t="s" s="39">
        <v>144</v>
      </c>
    </row>
    <row r="14" ht="20.05" customHeight="1">
      <c r="A14" s="27">
        <v>12</v>
      </c>
      <c r="B14" t="s" s="10">
        <v>145</v>
      </c>
      <c r="C14" t="s" s="11">
        <v>230</v>
      </c>
      <c r="D14" t="s" s="11">
        <v>237</v>
      </c>
      <c r="E14" t="s" s="41">
        <v>147</v>
      </c>
    </row>
    <row r="15" ht="20.05" customHeight="1">
      <c r="A15" s="27">
        <v>13</v>
      </c>
      <c r="B15" t="s" s="10">
        <v>148</v>
      </c>
      <c r="C15" t="s" s="11">
        <v>230</v>
      </c>
      <c r="D15" t="s" s="11">
        <v>238</v>
      </c>
      <c r="E15" t="s" s="57">
        <v>150</v>
      </c>
    </row>
    <row r="16" ht="20.05" customHeight="1">
      <c r="A16" s="27">
        <v>14</v>
      </c>
      <c r="B16" t="s" s="10">
        <v>239</v>
      </c>
      <c r="C16" s="13"/>
      <c r="D16" s="13"/>
      <c r="E16" s="13"/>
    </row>
    <row r="17" ht="20.05" customHeight="1">
      <c r="A17" s="27">
        <v>15</v>
      </c>
      <c r="B17" t="s" s="10">
        <v>240</v>
      </c>
      <c r="C17" s="13"/>
      <c r="D17" t="s" s="11">
        <v>241</v>
      </c>
      <c r="E17" s="13"/>
    </row>
    <row r="18" ht="20.05" customHeight="1">
      <c r="A18" s="27">
        <v>16</v>
      </c>
      <c r="B18" t="s" s="10">
        <v>154</v>
      </c>
      <c r="C18" s="13"/>
      <c r="D18" s="13"/>
      <c r="E18" s="13"/>
    </row>
    <row r="19" ht="20.05" customHeight="1">
      <c r="A19" s="45"/>
      <c r="B19" s="46"/>
      <c r="C19" s="13"/>
      <c r="D19" s="13"/>
      <c r="E19" s="13"/>
    </row>
    <row r="20" ht="20.05" customHeight="1">
      <c r="A20" s="45"/>
      <c r="B20" s="46"/>
      <c r="C20" s="13"/>
      <c r="D20" s="13"/>
      <c r="E20" s="1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8.10156" style="58" customWidth="1"/>
    <col min="2" max="2" width="32.6719" style="58" customWidth="1"/>
    <col min="3" max="3" width="23.6719" style="58" customWidth="1"/>
    <col min="4" max="4" width="24.625" style="58" customWidth="1"/>
    <col min="5" max="5" width="16.3516" style="58" customWidth="1"/>
    <col min="6" max="16384" width="16.3516" style="58" customWidth="1"/>
  </cols>
  <sheetData>
    <row r="1" ht="27.65" customHeight="1">
      <c r="A1" t="s" s="2">
        <v>242</v>
      </c>
      <c r="B1" s="2"/>
      <c r="C1" s="2"/>
      <c r="D1" s="2"/>
      <c r="E1" s="2"/>
    </row>
    <row r="2" ht="20.25" customHeight="1">
      <c r="A2" t="s" s="24">
        <v>94</v>
      </c>
      <c r="B2" t="s" s="3">
        <v>95</v>
      </c>
      <c r="C2" t="s" s="3">
        <v>96</v>
      </c>
      <c r="D2" t="s" s="3">
        <v>97</v>
      </c>
      <c r="E2" t="s" s="3">
        <v>98</v>
      </c>
    </row>
    <row r="3" ht="20.25" customHeight="1">
      <c r="A3" s="26">
        <v>1</v>
      </c>
      <c r="B3" t="s" s="5">
        <v>99</v>
      </c>
      <c r="C3" t="s" s="6">
        <v>186</v>
      </c>
      <c r="D3" s="8"/>
      <c r="E3" t="s" s="6">
        <v>187</v>
      </c>
    </row>
    <row r="4" ht="20.05" customHeight="1">
      <c r="A4" s="27">
        <v>2</v>
      </c>
      <c r="B4" t="s" s="10">
        <v>243</v>
      </c>
      <c r="C4" s="13"/>
      <c r="D4" t="s" s="11">
        <v>244</v>
      </c>
      <c r="E4" s="13"/>
    </row>
    <row r="5" ht="20.05" customHeight="1">
      <c r="A5" s="27">
        <v>3</v>
      </c>
      <c r="B5" t="s" s="10">
        <v>245</v>
      </c>
      <c r="C5" t="s" s="11">
        <v>246</v>
      </c>
      <c r="D5" t="s" s="11">
        <v>247</v>
      </c>
      <c r="E5" s="13"/>
    </row>
    <row r="6" ht="20.05" customHeight="1">
      <c r="A6" s="27">
        <v>4</v>
      </c>
      <c r="B6" t="s" s="10">
        <v>248</v>
      </c>
      <c r="C6" s="13"/>
      <c r="D6" s="13"/>
      <c r="E6" s="13"/>
    </row>
    <row r="7" ht="20.05" customHeight="1">
      <c r="A7" s="27">
        <v>5</v>
      </c>
      <c r="B7" t="s" s="10">
        <v>249</v>
      </c>
      <c r="C7" s="13"/>
      <c r="D7" t="s" s="11">
        <v>250</v>
      </c>
      <c r="E7" s="13"/>
    </row>
    <row r="8" ht="20.05" customHeight="1">
      <c r="A8" s="27">
        <v>6</v>
      </c>
      <c r="B8" t="s" s="10">
        <v>251</v>
      </c>
      <c r="C8" s="13"/>
      <c r="D8" t="s" s="11">
        <v>252</v>
      </c>
      <c r="E8" s="13"/>
    </row>
    <row r="9" ht="20.05" customHeight="1">
      <c r="A9" s="27">
        <v>7</v>
      </c>
      <c r="B9" t="s" s="10">
        <v>253</v>
      </c>
      <c r="C9" s="13"/>
      <c r="D9" t="s" s="11">
        <v>254</v>
      </c>
      <c r="E9" s="13"/>
    </row>
    <row r="10" ht="20.05" customHeight="1">
      <c r="A10" s="27">
        <v>8</v>
      </c>
      <c r="B10" t="s" s="10">
        <v>142</v>
      </c>
      <c r="C10" s="13"/>
      <c r="D10" t="s" s="11">
        <v>255</v>
      </c>
      <c r="E10" t="s" s="39">
        <v>144</v>
      </c>
    </row>
    <row r="11" ht="20.05" customHeight="1">
      <c r="A11" s="27">
        <v>9</v>
      </c>
      <c r="B11" t="s" s="10">
        <v>256</v>
      </c>
      <c r="C11" t="s" s="11">
        <v>117</v>
      </c>
      <c r="D11" t="s" s="11">
        <v>257</v>
      </c>
      <c r="E11" t="s" s="41">
        <v>147</v>
      </c>
    </row>
    <row r="12" ht="20.05" customHeight="1">
      <c r="A12" s="27">
        <v>10</v>
      </c>
      <c r="B12" t="s" s="10">
        <v>258</v>
      </c>
      <c r="C12" t="s" s="11">
        <v>117</v>
      </c>
      <c r="D12" t="s" s="11">
        <v>259</v>
      </c>
      <c r="E12" t="s" s="57">
        <v>150</v>
      </c>
    </row>
    <row r="13" ht="20.05" customHeight="1">
      <c r="A13" s="27">
        <v>11</v>
      </c>
      <c r="B13" t="s" s="10">
        <v>154</v>
      </c>
      <c r="C13" s="13"/>
      <c r="D13" s="13"/>
      <c r="E13" s="13"/>
    </row>
    <row r="14" ht="20.05" customHeight="1">
      <c r="A14" s="45"/>
      <c r="B14" s="46"/>
      <c r="C14" s="13"/>
      <c r="D14" s="13"/>
      <c r="E14" s="13"/>
    </row>
    <row r="15" ht="20.05" customHeight="1">
      <c r="A15" s="45"/>
      <c r="B15" s="46"/>
      <c r="C15" s="13"/>
      <c r="D15" s="13"/>
      <c r="E15" s="13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